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hp\Desktop\DG\"/>
    </mc:Choice>
  </mc:AlternateContent>
  <xr:revisionPtr revIDLastSave="0" documentId="13_ncr:1_{4016534D-2A60-4A89-B58B-CE777F04E1AC}" xr6:coauthVersionLast="47" xr6:coauthVersionMax="47" xr10:uidLastSave="{00000000-0000-0000-0000-000000000000}"/>
  <bookViews>
    <workbookView xWindow="-120" yWindow="-120" windowWidth="20730" windowHeight="11040" activeTab="3" xr2:uid="{00000000-000D-0000-FFFF-FFFF00000000}"/>
  </bookViews>
  <sheets>
    <sheet name="MOIS COMP" sheetId="16" r:id="rId1"/>
    <sheet name="BASE " sheetId="12" r:id="rId2"/>
    <sheet name="SNDE" sheetId="8" r:id="rId3"/>
    <sheet name="COMPARAISON" sheetId="15" r:id="rId4"/>
    <sheet name="NKTT" sheetId="1" r:id="rId5"/>
    <sheet name="Legende" sheetId="7" r:id="rId6"/>
  </sheets>
  <externalReferences>
    <externalReference r:id="rId7"/>
  </externalReferences>
  <definedNames>
    <definedName name="_xlnm._FilterDatabase" localSheetId="1" hidden="1">'BASE '!$A$1:$AH$88</definedName>
    <definedName name="_xlnm._FilterDatabase" localSheetId="3" hidden="1">COMPARAISON!$A$5:$O$5</definedName>
    <definedName name="_xlnm._FilterDatabase" localSheetId="4" hidden="1">NKTT!$A$5:$H$5</definedName>
    <definedName name="_xlnm._FilterDatabase" localSheetId="2" hidden="1">SNDE!$B$140:$F$140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75" i="15" l="1"/>
  <c r="D76" i="15"/>
  <c r="D77" i="15"/>
  <c r="M84" i="15"/>
  <c r="M85" i="15"/>
  <c r="M86" i="15"/>
  <c r="M71" i="15"/>
  <c r="M74" i="15"/>
  <c r="M75" i="15"/>
  <c r="M76" i="15"/>
  <c r="M77" i="15"/>
  <c r="AG85" i="16"/>
  <c r="AG86" i="16"/>
  <c r="AG87" i="16"/>
  <c r="AG88" i="16"/>
  <c r="D71" i="8"/>
  <c r="E84" i="15"/>
  <c r="G84" i="15" s="1"/>
  <c r="I84" i="15" s="1"/>
  <c r="K84" i="15" s="1"/>
  <c r="E99" i="15"/>
  <c r="G99" i="15" s="1"/>
  <c r="I99" i="15" s="1"/>
  <c r="K99" i="15" s="1"/>
  <c r="M50" i="15"/>
  <c r="M41" i="15"/>
  <c r="M5" i="15"/>
  <c r="B89" i="16"/>
  <c r="C89" i="16"/>
  <c r="D89" i="16"/>
  <c r="E89" i="16"/>
  <c r="F89" i="16"/>
  <c r="G89" i="16"/>
  <c r="H89" i="16"/>
  <c r="I89" i="16"/>
  <c r="J89" i="16"/>
  <c r="K89" i="16"/>
  <c r="L89" i="16"/>
  <c r="M89" i="16"/>
  <c r="N89" i="16"/>
  <c r="O89" i="16"/>
  <c r="P89" i="16"/>
  <c r="Q89" i="16"/>
  <c r="R89" i="16"/>
  <c r="S89" i="16"/>
  <c r="T89" i="16"/>
  <c r="U89" i="16"/>
  <c r="V89" i="16"/>
  <c r="W89" i="16"/>
  <c r="X89" i="16"/>
  <c r="Y89" i="16"/>
  <c r="Z89" i="16"/>
  <c r="AA89" i="16"/>
  <c r="AB89" i="16"/>
  <c r="C88" i="12"/>
  <c r="D88" i="12"/>
  <c r="E88" i="12"/>
  <c r="F88" i="12"/>
  <c r="G88" i="12"/>
  <c r="H88" i="12"/>
  <c r="I88" i="12"/>
  <c r="J88" i="12"/>
  <c r="K88" i="12"/>
  <c r="L88" i="12"/>
  <c r="M88" i="12"/>
  <c r="N88" i="12"/>
  <c r="O88" i="12"/>
  <c r="P88" i="12"/>
  <c r="Q88" i="12"/>
  <c r="R88" i="12"/>
  <c r="S88" i="12"/>
  <c r="T88" i="12"/>
  <c r="U88" i="12"/>
  <c r="V88" i="12"/>
  <c r="W88" i="12"/>
  <c r="X88" i="12"/>
  <c r="Y88" i="12"/>
  <c r="Z88" i="12"/>
  <c r="AA88" i="12"/>
  <c r="AB88" i="12"/>
  <c r="AC88" i="12"/>
  <c r="AC89" i="16"/>
  <c r="AD89" i="16"/>
  <c r="AE89" i="16"/>
  <c r="AF89" i="16"/>
  <c r="AG4" i="16"/>
  <c r="AG5" i="16"/>
  <c r="M82" i="15" s="1"/>
  <c r="AG6" i="16"/>
  <c r="AG7" i="16"/>
  <c r="AG8" i="16"/>
  <c r="M54" i="15" s="1"/>
  <c r="AG9" i="16"/>
  <c r="AG10" i="16"/>
  <c r="AG11" i="16"/>
  <c r="AG12" i="16"/>
  <c r="AG13" i="16"/>
  <c r="M94" i="15" s="1"/>
  <c r="AG14" i="16"/>
  <c r="AG15" i="16"/>
  <c r="AG16" i="16"/>
  <c r="AG17" i="16"/>
  <c r="M55" i="15" s="1"/>
  <c r="AG18" i="16"/>
  <c r="AG19" i="16"/>
  <c r="AG20" i="16"/>
  <c r="AG21" i="16"/>
  <c r="AG22" i="16"/>
  <c r="AG23" i="16"/>
  <c r="AG24" i="16"/>
  <c r="AG25" i="16"/>
  <c r="AG26" i="16"/>
  <c r="AG27" i="16"/>
  <c r="AG28" i="16"/>
  <c r="AG29" i="16"/>
  <c r="AG30" i="16"/>
  <c r="AG31" i="16"/>
  <c r="AG32" i="16"/>
  <c r="AG33" i="16"/>
  <c r="AG34" i="16"/>
  <c r="AG35" i="16"/>
  <c r="AG36" i="16"/>
  <c r="AG37" i="16"/>
  <c r="AG38" i="16"/>
  <c r="AG39" i="16"/>
  <c r="AG40" i="16"/>
  <c r="AG41" i="16"/>
  <c r="AG42" i="16"/>
  <c r="AG43" i="16"/>
  <c r="AG44" i="16"/>
  <c r="AG45" i="16"/>
  <c r="AG46" i="16"/>
  <c r="AG47" i="16"/>
  <c r="AG48" i="16"/>
  <c r="AG49" i="16"/>
  <c r="AG50" i="16"/>
  <c r="AG51" i="16"/>
  <c r="AG52" i="16"/>
  <c r="AG53" i="16"/>
  <c r="AG54" i="16"/>
  <c r="AG55" i="16"/>
  <c r="AG56" i="16"/>
  <c r="M101" i="15" s="1"/>
  <c r="AG57" i="16"/>
  <c r="M104" i="15" s="1"/>
  <c r="AG58" i="16"/>
  <c r="AG59" i="16"/>
  <c r="AG60" i="16"/>
  <c r="AG61" i="16"/>
  <c r="AG62" i="16"/>
  <c r="AG63" i="16"/>
  <c r="AG64" i="16"/>
  <c r="AG65" i="16"/>
  <c r="AG66" i="16"/>
  <c r="AG67" i="16"/>
  <c r="AG68" i="16"/>
  <c r="AG69" i="16"/>
  <c r="AG70" i="16"/>
  <c r="AG71" i="16"/>
  <c r="AG72" i="16"/>
  <c r="AG73" i="16"/>
  <c r="AG74" i="16"/>
  <c r="AG75" i="16"/>
  <c r="AG76" i="16"/>
  <c r="AG77" i="16"/>
  <c r="AG78" i="16"/>
  <c r="AG79" i="16"/>
  <c r="AG80" i="16"/>
  <c r="AG81" i="16"/>
  <c r="AG82" i="16"/>
  <c r="AG83" i="16"/>
  <c r="AG84" i="16"/>
  <c r="AG3" i="16"/>
  <c r="E44" i="15"/>
  <c r="G44" i="15" s="1"/>
  <c r="I44" i="15" s="1"/>
  <c r="K44" i="15" s="1"/>
  <c r="M67" i="15" l="1"/>
  <c r="M96" i="15"/>
  <c r="M65" i="15"/>
  <c r="M105" i="15"/>
  <c r="M113" i="15"/>
  <c r="M92" i="15"/>
  <c r="M111" i="15"/>
  <c r="M99" i="15"/>
  <c r="M93" i="15"/>
  <c r="M103" i="15"/>
  <c r="M102" i="15"/>
  <c r="M68" i="15"/>
  <c r="M95" i="15"/>
  <c r="M100" i="15"/>
  <c r="M110" i="15"/>
  <c r="M112" i="15"/>
  <c r="M97" i="15"/>
  <c r="M114" i="15"/>
  <c r="M109" i="15"/>
  <c r="M66" i="15"/>
  <c r="M69" i="15"/>
  <c r="M8" i="15"/>
  <c r="M18" i="15"/>
  <c r="M32" i="15"/>
  <c r="M14" i="15"/>
  <c r="M35" i="15"/>
  <c r="M33" i="15"/>
  <c r="M12" i="15"/>
  <c r="M59" i="15"/>
  <c r="M19" i="15"/>
  <c r="M27" i="15"/>
  <c r="M17" i="15"/>
  <c r="M31" i="15"/>
  <c r="M30" i="15"/>
  <c r="M63" i="15"/>
  <c r="M90" i="15"/>
  <c r="M53" i="15"/>
  <c r="M44" i="15"/>
  <c r="M51" i="15"/>
  <c r="M106" i="15"/>
  <c r="M42" i="15"/>
  <c r="M25" i="15"/>
  <c r="M7" i="15"/>
  <c r="M20" i="15"/>
  <c r="M58" i="15"/>
  <c r="M64" i="15"/>
  <c r="M52" i="15"/>
  <c r="M81" i="15"/>
  <c r="M22" i="15"/>
  <c r="M29" i="15"/>
  <c r="M98" i="15"/>
  <c r="M13" i="15"/>
  <c r="M62" i="15"/>
  <c r="M45" i="15"/>
  <c r="M91" i="15"/>
  <c r="M89" i="15"/>
  <c r="M80" i="15"/>
  <c r="M28" i="15"/>
  <c r="M6" i="15"/>
  <c r="M34" i="15"/>
  <c r="M26" i="15"/>
  <c r="M21" i="15"/>
  <c r="M56" i="15"/>
  <c r="M11" i="15"/>
  <c r="M10" i="15"/>
  <c r="M43" i="15"/>
  <c r="M9" i="15"/>
  <c r="M57" i="15"/>
  <c r="AG89" i="16"/>
  <c r="E45" i="15"/>
  <c r="G45" i="15" s="1"/>
  <c r="I45" i="15" s="1"/>
  <c r="K45" i="15" s="1"/>
  <c r="E35" i="15"/>
  <c r="G35" i="15" s="1"/>
  <c r="I35" i="15" s="1"/>
  <c r="K35" i="15" s="1"/>
  <c r="AG88" i="12"/>
  <c r="AH3" i="12"/>
  <c r="AH4" i="12"/>
  <c r="AH5" i="12"/>
  <c r="D84" i="15" s="1"/>
  <c r="F84" i="15" s="1"/>
  <c r="H84" i="15" s="1"/>
  <c r="J84" i="15" s="1"/>
  <c r="AH6" i="12"/>
  <c r="AH7" i="12"/>
  <c r="AH8" i="12"/>
  <c r="D118" i="8" s="1"/>
  <c r="AH9" i="12"/>
  <c r="D105" i="8" s="1"/>
  <c r="AH10" i="12"/>
  <c r="AH11" i="12"/>
  <c r="AH12" i="12"/>
  <c r="D100" i="15" s="1"/>
  <c r="AH13" i="12"/>
  <c r="AH14" i="12"/>
  <c r="AH15" i="12"/>
  <c r="AH16" i="12"/>
  <c r="AH17" i="12"/>
  <c r="AH18" i="12"/>
  <c r="D115" i="8" s="1"/>
  <c r="AH19" i="12"/>
  <c r="AH20" i="12"/>
  <c r="AH21" i="12"/>
  <c r="AH22" i="12"/>
  <c r="AH23" i="12"/>
  <c r="D99" i="15" s="1"/>
  <c r="AH24" i="12"/>
  <c r="AH25" i="12"/>
  <c r="D58" i="15" s="1"/>
  <c r="AH26" i="12"/>
  <c r="AH27" i="12"/>
  <c r="AH28" i="12"/>
  <c r="AH29" i="12"/>
  <c r="AH30" i="12"/>
  <c r="AH31" i="12"/>
  <c r="AH32" i="12"/>
  <c r="AH33" i="12"/>
  <c r="AH34" i="12"/>
  <c r="AH35" i="12"/>
  <c r="AH36" i="12"/>
  <c r="AH37" i="12"/>
  <c r="AH38" i="12"/>
  <c r="AH39" i="12"/>
  <c r="AH40" i="12"/>
  <c r="AH41" i="12"/>
  <c r="AH42" i="12"/>
  <c r="D102" i="15" s="1"/>
  <c r="AH43" i="12"/>
  <c r="D103" i="8" s="1"/>
  <c r="AH44" i="12"/>
  <c r="AH45" i="12"/>
  <c r="AH46" i="12"/>
  <c r="AH47" i="12"/>
  <c r="AH48" i="12"/>
  <c r="AH49" i="12"/>
  <c r="AH50" i="12"/>
  <c r="AH51" i="12"/>
  <c r="AH52" i="12"/>
  <c r="AH53" i="12"/>
  <c r="AH54" i="12"/>
  <c r="AH55" i="12"/>
  <c r="AH56" i="12"/>
  <c r="D101" i="15" s="1"/>
  <c r="AH57" i="12"/>
  <c r="D104" i="15" s="1"/>
  <c r="AH58" i="12"/>
  <c r="AH59" i="12"/>
  <c r="AH60" i="12"/>
  <c r="AH61" i="12"/>
  <c r="AH62" i="12"/>
  <c r="AH63" i="12"/>
  <c r="AH64" i="12"/>
  <c r="AH65" i="12"/>
  <c r="AH66" i="12"/>
  <c r="AH67" i="12"/>
  <c r="D105" i="15" s="1"/>
  <c r="AH68" i="12"/>
  <c r="AH69" i="12"/>
  <c r="AH70" i="12"/>
  <c r="AH71" i="12"/>
  <c r="AH72" i="12"/>
  <c r="AH73" i="12"/>
  <c r="AH74" i="12"/>
  <c r="AH75" i="12"/>
  <c r="AH76" i="12"/>
  <c r="AH77" i="12"/>
  <c r="AH78" i="12"/>
  <c r="AH79" i="12"/>
  <c r="AH80" i="12"/>
  <c r="AH81" i="12"/>
  <c r="AH82" i="12"/>
  <c r="AH83" i="12"/>
  <c r="D94" i="8" s="1"/>
  <c r="AH84" i="12"/>
  <c r="D93" i="8" s="1"/>
  <c r="AH85" i="12"/>
  <c r="AH86" i="12"/>
  <c r="AH87" i="12"/>
  <c r="D92" i="8" l="1"/>
  <c r="D95" i="15"/>
  <c r="D59" i="15"/>
  <c r="D116" i="8"/>
  <c r="D57" i="15"/>
  <c r="D113" i="8"/>
  <c r="D56" i="15"/>
  <c r="D111" i="8"/>
  <c r="D85" i="15"/>
  <c r="D104" i="8"/>
  <c r="D51" i="15"/>
  <c r="D112" i="8"/>
  <c r="D55" i="15"/>
  <c r="D114" i="8"/>
  <c r="D96" i="15"/>
  <c r="D82" i="15"/>
  <c r="D102" i="8"/>
  <c r="D71" i="15"/>
  <c r="D54" i="15"/>
  <c r="D117" i="8"/>
  <c r="D83" i="15"/>
  <c r="D53" i="15"/>
  <c r="O53" i="15" s="1"/>
  <c r="D86" i="15"/>
  <c r="D18" i="15"/>
  <c r="D31" i="15"/>
  <c r="D30" i="15"/>
  <c r="D80" i="15"/>
  <c r="D52" i="15"/>
  <c r="D97" i="15"/>
  <c r="D65" i="15"/>
  <c r="D110" i="8"/>
  <c r="D111" i="15"/>
  <c r="D14" i="15"/>
  <c r="D35" i="15"/>
  <c r="F35" i="15" s="1"/>
  <c r="H35" i="15" s="1"/>
  <c r="J35" i="15" s="1"/>
  <c r="J36" i="15" s="1"/>
  <c r="D33" i="15"/>
  <c r="D106" i="15"/>
  <c r="D7" i="15"/>
  <c r="D20" i="15"/>
  <c r="D70" i="15"/>
  <c r="D68" i="8"/>
  <c r="F68" i="8" s="1"/>
  <c r="D25" i="8"/>
  <c r="D22" i="15"/>
  <c r="D29" i="15"/>
  <c r="O29" i="15" s="1"/>
  <c r="D6" i="15"/>
  <c r="D9" i="15"/>
  <c r="D11" i="15"/>
  <c r="D44" i="15"/>
  <c r="F44" i="15" s="1"/>
  <c r="H44" i="15" s="1"/>
  <c r="J44" i="15" s="1"/>
  <c r="D47" i="8"/>
  <c r="D85" i="8"/>
  <c r="D79" i="8"/>
  <c r="D28" i="8"/>
  <c r="D10" i="15"/>
  <c r="D91" i="8"/>
  <c r="F99" i="15"/>
  <c r="H99" i="15" s="1"/>
  <c r="J99" i="15" s="1"/>
  <c r="J107" i="15" s="1"/>
  <c r="D67" i="8"/>
  <c r="D68" i="15"/>
  <c r="D88" i="8"/>
  <c r="D93" i="15"/>
  <c r="D128" i="8"/>
  <c r="D110" i="15"/>
  <c r="D87" i="8"/>
  <c r="D12" i="15"/>
  <c r="D59" i="8"/>
  <c r="D112" i="15"/>
  <c r="D123" i="8"/>
  <c r="D109" i="15"/>
  <c r="D30" i="8"/>
  <c r="D19" i="15"/>
  <c r="D27" i="8"/>
  <c r="D27" i="15"/>
  <c r="D84" i="8"/>
  <c r="D69" i="15"/>
  <c r="D126" i="8"/>
  <c r="D114" i="15"/>
  <c r="D78" i="8"/>
  <c r="D113" i="15"/>
  <c r="D48" i="8"/>
  <c r="D17" i="15"/>
  <c r="D12" i="8"/>
  <c r="F12" i="8" s="1"/>
  <c r="D32" i="15"/>
  <c r="D62" i="8"/>
  <c r="D64" i="15"/>
  <c r="D89" i="8"/>
  <c r="D94" i="15"/>
  <c r="D101" i="8"/>
  <c r="D50" i="8"/>
  <c r="D26" i="8"/>
  <c r="D82" i="8"/>
  <c r="D92" i="15"/>
  <c r="D60" i="8"/>
  <c r="D8" i="15"/>
  <c r="D7" i="8"/>
  <c r="F7" i="8" s="1"/>
  <c r="D26" i="15"/>
  <c r="D40" i="8"/>
  <c r="D21" i="15"/>
  <c r="D66" i="8"/>
  <c r="D57" i="8"/>
  <c r="D8" i="8"/>
  <c r="F8" i="8" s="1"/>
  <c r="D43" i="15"/>
  <c r="D127" i="8"/>
  <c r="D81" i="8"/>
  <c r="D103" i="15"/>
  <c r="D80" i="8"/>
  <c r="D42" i="15"/>
  <c r="D9" i="8"/>
  <c r="F9" i="8" s="1"/>
  <c r="D25" i="15"/>
  <c r="D58" i="8"/>
  <c r="D98" i="15"/>
  <c r="D67" i="15"/>
  <c r="D37" i="8"/>
  <c r="D13" i="15"/>
  <c r="D21" i="8"/>
  <c r="O74" i="15"/>
  <c r="D63" i="8"/>
  <c r="D62" i="15"/>
  <c r="D45" i="15"/>
  <c r="F45" i="15" s="1"/>
  <c r="H45" i="15" s="1"/>
  <c r="J45" i="15" s="1"/>
  <c r="D90" i="8"/>
  <c r="D91" i="15"/>
  <c r="D61" i="8"/>
  <c r="D125" i="8"/>
  <c r="D89" i="15"/>
  <c r="D35" i="8"/>
  <c r="D28" i="15"/>
  <c r="D29" i="8"/>
  <c r="D34" i="15"/>
  <c r="D65" i="8"/>
  <c r="D63" i="15"/>
  <c r="D64" i="8"/>
  <c r="D66" i="15"/>
  <c r="D77" i="8"/>
  <c r="D90" i="15"/>
  <c r="D86" i="8"/>
  <c r="D36" i="8"/>
  <c r="M107" i="15"/>
  <c r="M78" i="15"/>
  <c r="M115" i="15"/>
  <c r="M23" i="15"/>
  <c r="M87" i="15"/>
  <c r="M36" i="15"/>
  <c r="D13" i="8"/>
  <c r="F13" i="8" s="1"/>
  <c r="D10" i="8"/>
  <c r="F10" i="8" s="1"/>
  <c r="D22" i="8"/>
  <c r="D24" i="8"/>
  <c r="D20" i="8"/>
  <c r="D11" i="8"/>
  <c r="F11" i="8" s="1"/>
  <c r="D6" i="8"/>
  <c r="F6" i="8" s="1"/>
  <c r="D38" i="8"/>
  <c r="E115" i="15"/>
  <c r="F115" i="15"/>
  <c r="G115" i="15"/>
  <c r="H115" i="15"/>
  <c r="I115" i="15"/>
  <c r="J115" i="15"/>
  <c r="K115" i="15"/>
  <c r="E107" i="15"/>
  <c r="G107" i="15"/>
  <c r="I107" i="15"/>
  <c r="K107" i="15"/>
  <c r="E87" i="15"/>
  <c r="F87" i="15"/>
  <c r="G87" i="15"/>
  <c r="H87" i="15"/>
  <c r="I87" i="15"/>
  <c r="J87" i="15"/>
  <c r="K87" i="15"/>
  <c r="E60" i="15"/>
  <c r="F60" i="15"/>
  <c r="G60" i="15"/>
  <c r="H60" i="15"/>
  <c r="I60" i="15"/>
  <c r="J60" i="15"/>
  <c r="K60" i="15"/>
  <c r="E36" i="15"/>
  <c r="G36" i="15"/>
  <c r="I36" i="15"/>
  <c r="K36" i="15"/>
  <c r="E23" i="15"/>
  <c r="F23" i="15"/>
  <c r="G23" i="15"/>
  <c r="H23" i="15"/>
  <c r="I23" i="15"/>
  <c r="J23" i="15"/>
  <c r="K23" i="15"/>
  <c r="O73" i="15"/>
  <c r="H107" i="15" l="1"/>
  <c r="F107" i="15"/>
  <c r="D46" i="15"/>
  <c r="K38" i="15"/>
  <c r="D15" i="15"/>
  <c r="D60" i="15"/>
  <c r="D107" i="15"/>
  <c r="O107" i="15" s="1"/>
  <c r="D23" i="15"/>
  <c r="D78" i="15"/>
  <c r="H36" i="15"/>
  <c r="H38" i="15" s="1"/>
  <c r="F36" i="15"/>
  <c r="F38" i="15" s="1"/>
  <c r="D36" i="15"/>
  <c r="J38" i="15"/>
  <c r="I38" i="15"/>
  <c r="G38" i="15"/>
  <c r="E38" i="15"/>
  <c r="D115" i="15"/>
  <c r="M60" i="15"/>
  <c r="M15" i="15"/>
  <c r="O86" i="15"/>
  <c r="O34" i="15"/>
  <c r="O68" i="15"/>
  <c r="O62" i="15"/>
  <c r="O95" i="15"/>
  <c r="O52" i="15"/>
  <c r="O96" i="15"/>
  <c r="O6" i="15"/>
  <c r="O57" i="15"/>
  <c r="O80" i="15"/>
  <c r="O66" i="15"/>
  <c r="O109" i="15"/>
  <c r="O105" i="15"/>
  <c r="O17" i="15"/>
  <c r="O67" i="15"/>
  <c r="O59" i="15"/>
  <c r="O83" i="15"/>
  <c r="O82" i="15"/>
  <c r="O77" i="15"/>
  <c r="O63" i="15"/>
  <c r="O70" i="15"/>
  <c r="O75" i="15"/>
  <c r="O98" i="15"/>
  <c r="O44" i="15"/>
  <c r="O102" i="15"/>
  <c r="O90" i="15"/>
  <c r="O103" i="15"/>
  <c r="O33" i="15"/>
  <c r="O18" i="15"/>
  <c r="O11" i="15"/>
  <c r="O7" i="15"/>
  <c r="O42" i="15"/>
  <c r="O113" i="15"/>
  <c r="O111" i="15"/>
  <c r="O101" i="15"/>
  <c r="O104" i="15"/>
  <c r="O100" i="15"/>
  <c r="O69" i="15"/>
  <c r="O51" i="15"/>
  <c r="O45" i="15"/>
  <c r="O89" i="15"/>
  <c r="O93" i="15"/>
  <c r="O92" i="15"/>
  <c r="O84" i="15"/>
  <c r="O71" i="15"/>
  <c r="O112" i="15"/>
  <c r="O110" i="15"/>
  <c r="O64" i="15"/>
  <c r="O58" i="15"/>
  <c r="O54" i="15"/>
  <c r="O32" i="15"/>
  <c r="O27" i="15"/>
  <c r="O22" i="15"/>
  <c r="O14" i="15"/>
  <c r="O31" i="15"/>
  <c r="O9" i="15"/>
  <c r="O21" i="15"/>
  <c r="O28" i="15"/>
  <c r="O25" i="15"/>
  <c r="O26" i="15"/>
  <c r="O19" i="15"/>
  <c r="O30" i="15"/>
  <c r="O8" i="15"/>
  <c r="O12" i="15"/>
  <c r="O76" i="15"/>
  <c r="O94" i="15"/>
  <c r="O56" i="15"/>
  <c r="O99" i="15"/>
  <c r="O85" i="15"/>
  <c r="O72" i="15"/>
  <c r="O65" i="15"/>
  <c r="O114" i="15"/>
  <c r="O106" i="15"/>
  <c r="O91" i="15"/>
  <c r="O97" i="15"/>
  <c r="O55" i="15"/>
  <c r="O43" i="15"/>
  <c r="O35" i="15"/>
  <c r="O20" i="15"/>
  <c r="O13" i="15"/>
  <c r="O10" i="15"/>
  <c r="D5" i="15"/>
  <c r="D38" i="15" l="1"/>
  <c r="O115" i="15"/>
  <c r="D50" i="15"/>
  <c r="D41" i="15"/>
  <c r="M117" i="15"/>
  <c r="O78" i="15"/>
  <c r="M38" i="15"/>
  <c r="O36" i="15"/>
  <c r="O15" i="15"/>
  <c r="O23" i="15"/>
  <c r="M46" i="15"/>
  <c r="O38" i="15" l="1"/>
  <c r="O60" i="15"/>
  <c r="M119" i="15"/>
  <c r="AH2" i="12"/>
  <c r="D81" i="15" s="1"/>
  <c r="D100" i="8" l="1"/>
  <c r="D14" i="8"/>
  <c r="D140" i="8"/>
  <c r="D122" i="8"/>
  <c r="D109" i="8"/>
  <c r="D98" i="8"/>
  <c r="D76" i="8"/>
  <c r="D56" i="8"/>
  <c r="D46" i="8"/>
  <c r="D34" i="8"/>
  <c r="D19" i="8"/>
  <c r="D5" i="8"/>
  <c r="D23" i="8"/>
  <c r="F13" i="1"/>
  <c r="F11" i="1"/>
  <c r="F23" i="1"/>
  <c r="F31" i="1"/>
  <c r="D83" i="8"/>
  <c r="AD88" i="12"/>
  <c r="AE88" i="12"/>
  <c r="AF88" i="12"/>
  <c r="E74" i="15"/>
  <c r="F74" i="15"/>
  <c r="C150" i="8"/>
  <c r="C129" i="8"/>
  <c r="C119" i="8"/>
  <c r="C106" i="8"/>
  <c r="C95" i="8"/>
  <c r="C73" i="8"/>
  <c r="C51" i="8"/>
  <c r="C53" i="8" s="1"/>
  <c r="C41" i="8"/>
  <c r="C31" i="8"/>
  <c r="H74" i="15" l="1"/>
  <c r="F78" i="15"/>
  <c r="F117" i="15" s="1"/>
  <c r="F119" i="15" s="1"/>
  <c r="G74" i="15"/>
  <c r="E78" i="15"/>
  <c r="E117" i="15" s="1"/>
  <c r="E119" i="15" s="1"/>
  <c r="D87" i="15"/>
  <c r="O81" i="15"/>
  <c r="E66" i="8"/>
  <c r="E71" i="8"/>
  <c r="E62" i="8"/>
  <c r="F70" i="8"/>
  <c r="E63" i="8"/>
  <c r="E68" i="8"/>
  <c r="E67" i="8"/>
  <c r="E90" i="8"/>
  <c r="F117" i="8"/>
  <c r="E80" i="8"/>
  <c r="E125" i="8"/>
  <c r="F128" i="8"/>
  <c r="F104" i="8"/>
  <c r="D124" i="8"/>
  <c r="F124" i="8" s="1"/>
  <c r="F77" i="8"/>
  <c r="F86" i="8"/>
  <c r="E82" i="8"/>
  <c r="F113" i="8"/>
  <c r="E111" i="8"/>
  <c r="F59" i="8"/>
  <c r="D99" i="8"/>
  <c r="F99" i="8" s="1"/>
  <c r="E58" i="8"/>
  <c r="F115" i="8"/>
  <c r="F92" i="8"/>
  <c r="F101" i="8"/>
  <c r="E127" i="8"/>
  <c r="E81" i="8"/>
  <c r="F50" i="8"/>
  <c r="D39" i="8"/>
  <c r="E85" i="8"/>
  <c r="F57" i="8"/>
  <c r="F103" i="8"/>
  <c r="E88" i="8"/>
  <c r="F22" i="1"/>
  <c r="E102" i="8"/>
  <c r="E79" i="8"/>
  <c r="F84" i="8"/>
  <c r="F112" i="8"/>
  <c r="F126" i="8"/>
  <c r="E110" i="8"/>
  <c r="F89" i="8"/>
  <c r="F118" i="8"/>
  <c r="D49" i="8"/>
  <c r="E49" i="8" s="1"/>
  <c r="F116" i="8"/>
  <c r="F87" i="8"/>
  <c r="E69" i="8"/>
  <c r="E114" i="8"/>
  <c r="F123" i="8"/>
  <c r="F93" i="8"/>
  <c r="E91" i="8"/>
  <c r="F61" i="8"/>
  <c r="F27" i="1"/>
  <c r="F7" i="1"/>
  <c r="F15" i="1"/>
  <c r="F29" i="1"/>
  <c r="F8" i="1"/>
  <c r="F78" i="8"/>
  <c r="F28" i="1"/>
  <c r="F26" i="1"/>
  <c r="F18" i="1"/>
  <c r="F19" i="1"/>
  <c r="F6" i="1"/>
  <c r="F12" i="1"/>
  <c r="F10" i="1"/>
  <c r="F24" i="1"/>
  <c r="F16" i="1"/>
  <c r="F30" i="1"/>
  <c r="F21" i="1"/>
  <c r="F25" i="1"/>
  <c r="F17" i="1"/>
  <c r="F20" i="1"/>
  <c r="F14" i="1"/>
  <c r="E72" i="8"/>
  <c r="AH88" i="12"/>
  <c r="F22" i="8"/>
  <c r="F94" i="8"/>
  <c r="H31" i="1"/>
  <c r="E105" i="8"/>
  <c r="F9" i="1"/>
  <c r="F83" i="8"/>
  <c r="E60" i="8"/>
  <c r="C131" i="8"/>
  <c r="I74" i="15" l="1"/>
  <c r="G78" i="15"/>
  <c r="G117" i="15" s="1"/>
  <c r="G119" i="15" s="1"/>
  <c r="O87" i="15"/>
  <c r="D117" i="15"/>
  <c r="O117" i="15" s="1"/>
  <c r="J74" i="15"/>
  <c r="J78" i="15" s="1"/>
  <c r="J117" i="15" s="1"/>
  <c r="J119" i="15" s="1"/>
  <c r="H78" i="15"/>
  <c r="H117" i="15" s="1"/>
  <c r="H119" i="15" s="1"/>
  <c r="O46" i="15"/>
  <c r="D51" i="8"/>
  <c r="D53" i="8" s="1"/>
  <c r="D106" i="8"/>
  <c r="D147" i="8" s="1"/>
  <c r="F147" i="8" s="1"/>
  <c r="E93" i="8"/>
  <c r="F47" i="8"/>
  <c r="D41" i="8"/>
  <c r="D119" i="8"/>
  <c r="D149" i="8" s="1"/>
  <c r="F149" i="8" s="1"/>
  <c r="D129" i="8"/>
  <c r="D145" i="8" s="1"/>
  <c r="F145" i="8" s="1"/>
  <c r="D73" i="8"/>
  <c r="D31" i="8"/>
  <c r="D141" i="8" s="1"/>
  <c r="D15" i="8"/>
  <c r="D95" i="8"/>
  <c r="D146" i="8" s="1"/>
  <c r="F146" i="8" s="1"/>
  <c r="E64" i="8"/>
  <c r="F58" i="8"/>
  <c r="F72" i="8"/>
  <c r="E47" i="8"/>
  <c r="E89" i="8"/>
  <c r="F91" i="8"/>
  <c r="E78" i="8"/>
  <c r="F90" i="8"/>
  <c r="F102" i="8"/>
  <c r="E101" i="8"/>
  <c r="E124" i="8"/>
  <c r="F88" i="8"/>
  <c r="F69" i="8"/>
  <c r="E126" i="8"/>
  <c r="E84" i="8"/>
  <c r="E113" i="8"/>
  <c r="E94" i="8"/>
  <c r="F49" i="8"/>
  <c r="F127" i="8"/>
  <c r="E61" i="8"/>
  <c r="E103" i="8"/>
  <c r="F79" i="8"/>
  <c r="G31" i="1"/>
  <c r="F81" i="8"/>
  <c r="F71" i="8"/>
  <c r="E128" i="8"/>
  <c r="E117" i="8"/>
  <c r="F105" i="8"/>
  <c r="F65" i="8"/>
  <c r="E70" i="8"/>
  <c r="F66" i="8"/>
  <c r="F62" i="8"/>
  <c r="F82" i="8"/>
  <c r="F125" i="8"/>
  <c r="E50" i="8"/>
  <c r="E87" i="8"/>
  <c r="F114" i="8"/>
  <c r="E116" i="8"/>
  <c r="F85" i="8"/>
  <c r="E77" i="8"/>
  <c r="E118" i="8"/>
  <c r="E65" i="8"/>
  <c r="E112" i="8"/>
  <c r="F48" i="8"/>
  <c r="F67" i="8"/>
  <c r="E86" i="8"/>
  <c r="E115" i="8"/>
  <c r="E57" i="8"/>
  <c r="F64" i="8"/>
  <c r="E48" i="8"/>
  <c r="E92" i="8"/>
  <c r="E83" i="8"/>
  <c r="F110" i="8"/>
  <c r="F60" i="8"/>
  <c r="F80" i="8"/>
  <c r="E22" i="8"/>
  <c r="F63" i="8"/>
  <c r="E59" i="8"/>
  <c r="E123" i="8"/>
  <c r="F111" i="8"/>
  <c r="E104" i="8"/>
  <c r="E99" i="8"/>
  <c r="D119" i="15" l="1"/>
  <c r="O119" i="15" s="1"/>
  <c r="K74" i="15"/>
  <c r="K78" i="15" s="1"/>
  <c r="K117" i="15" s="1"/>
  <c r="K119" i="15" s="1"/>
  <c r="I78" i="15"/>
  <c r="I117" i="15" s="1"/>
  <c r="I119" i="15" s="1"/>
  <c r="D148" i="8"/>
  <c r="F148" i="8" s="1"/>
  <c r="D131" i="8"/>
  <c r="D143" i="8"/>
  <c r="F143" i="8" s="1"/>
  <c r="D144" i="8"/>
  <c r="F144" i="8" s="1"/>
  <c r="D142" i="8"/>
  <c r="F142" i="8" s="1"/>
  <c r="D43" i="8"/>
  <c r="E129" i="8"/>
  <c r="F51" i="8"/>
  <c r="F53" i="8" s="1"/>
  <c r="F129" i="8"/>
  <c r="F95" i="8"/>
  <c r="F119" i="8"/>
  <c r="F73" i="8"/>
  <c r="E51" i="8"/>
  <c r="E53" i="8" s="1"/>
  <c r="E95" i="8"/>
  <c r="E73" i="8"/>
  <c r="E119" i="8"/>
  <c r="E37" i="8"/>
  <c r="F37" i="8"/>
  <c r="F21" i="8"/>
  <c r="E21" i="8"/>
  <c r="F23" i="8"/>
  <c r="E23" i="8"/>
  <c r="F24" i="8"/>
  <c r="E24" i="8"/>
  <c r="E40" i="8"/>
  <c r="F40" i="8"/>
  <c r="F28" i="8"/>
  <c r="E28" i="8"/>
  <c r="F20" i="8"/>
  <c r="E20" i="8"/>
  <c r="F39" i="8"/>
  <c r="E39" i="8"/>
  <c r="E30" i="8"/>
  <c r="F30" i="8"/>
  <c r="F27" i="8"/>
  <c r="E27" i="8"/>
  <c r="F36" i="8"/>
  <c r="E36" i="8"/>
  <c r="F38" i="8"/>
  <c r="E38" i="8"/>
  <c r="E35" i="8"/>
  <c r="F35" i="8"/>
  <c r="E29" i="8"/>
  <c r="F29" i="8"/>
  <c r="C15" i="8"/>
  <c r="C43" i="8" s="1"/>
  <c r="C134" i="8" s="1"/>
  <c r="D150" i="8" l="1"/>
  <c r="F150" i="8" s="1"/>
  <c r="F15" i="8"/>
  <c r="D134" i="8"/>
  <c r="E144" i="8"/>
  <c r="E148" i="8"/>
  <c r="E146" i="8"/>
  <c r="E149" i="8"/>
  <c r="E145" i="8"/>
  <c r="F41" i="8"/>
  <c r="F26" i="8"/>
  <c r="E26" i="8"/>
  <c r="E41" i="8"/>
  <c r="F25" i="8"/>
  <c r="E25" i="8"/>
  <c r="E141" i="8"/>
  <c r="E32" i="1"/>
  <c r="E142" i="8" l="1"/>
  <c r="F141" i="8"/>
  <c r="E31" i="8"/>
  <c r="F31" i="8"/>
  <c r="E143" i="8" l="1"/>
  <c r="E100" i="8" l="1"/>
  <c r="E106" i="8" s="1"/>
  <c r="E131" i="8" s="1"/>
  <c r="F100" i="8"/>
  <c r="E147" i="8"/>
  <c r="E13" i="8"/>
  <c r="E6" i="8"/>
  <c r="E14" i="8"/>
  <c r="F14" i="8"/>
  <c r="E12" i="8"/>
  <c r="E9" i="8"/>
  <c r="E7" i="8"/>
  <c r="E8" i="8"/>
  <c r="E11" i="8"/>
  <c r="E10" i="8"/>
  <c r="G28" i="1"/>
  <c r="H28" i="1"/>
  <c r="G19" i="1"/>
  <c r="H19" i="1"/>
  <c r="G11" i="1"/>
  <c r="H11" i="1"/>
  <c r="G20" i="1"/>
  <c r="H20" i="1"/>
  <c r="G29" i="1"/>
  <c r="H29" i="1"/>
  <c r="G16" i="1"/>
  <c r="H16" i="1"/>
  <c r="G8" i="1"/>
  <c r="H8" i="1"/>
  <c r="G18" i="1"/>
  <c r="H18" i="1"/>
  <c r="G30" i="1"/>
  <c r="H30" i="1"/>
  <c r="G12" i="1"/>
  <c r="H12" i="1"/>
  <c r="G25" i="1"/>
  <c r="H25" i="1"/>
  <c r="G23" i="1"/>
  <c r="H23" i="1"/>
  <c r="G15" i="1"/>
  <c r="H15" i="1"/>
  <c r="G14" i="1"/>
  <c r="H14" i="1"/>
  <c r="G10" i="1"/>
  <c r="H10" i="1"/>
  <c r="G21" i="1"/>
  <c r="H21" i="1"/>
  <c r="G27" i="1"/>
  <c r="H27" i="1"/>
  <c r="G24" i="1"/>
  <c r="H24" i="1"/>
  <c r="G22" i="1"/>
  <c r="H22" i="1"/>
  <c r="G6" i="1"/>
  <c r="H6" i="1"/>
  <c r="G13" i="1"/>
  <c r="H13" i="1"/>
  <c r="G9" i="1"/>
  <c r="H9" i="1"/>
  <c r="G7" i="1"/>
  <c r="H7" i="1"/>
  <c r="G17" i="1"/>
  <c r="H17" i="1"/>
  <c r="G26" i="1"/>
  <c r="H26" i="1"/>
  <c r="F4" i="1"/>
  <c r="E15" i="8" l="1"/>
  <c r="E43" i="8" s="1"/>
  <c r="E134" i="8" s="1"/>
  <c r="F106" i="8"/>
  <c r="F43" i="8"/>
  <c r="D32" i="1"/>
  <c r="E150" i="8" l="1"/>
  <c r="F131" i="8"/>
  <c r="F134" i="8"/>
  <c r="F32" i="1"/>
  <c r="H32" i="1" s="1"/>
  <c r="G32" i="1" l="1"/>
</calcChain>
</file>

<file path=xl/sharedStrings.xml><?xml version="1.0" encoding="utf-8"?>
<sst xmlns="http://schemas.openxmlformats.org/spreadsheetml/2006/main" count="532" uniqueCount="158">
  <si>
    <t>SNDE</t>
  </si>
  <si>
    <t>DG</t>
  </si>
  <si>
    <t>EXP</t>
  </si>
  <si>
    <t>CENTRE</t>
  </si>
  <si>
    <t>ECART DU MOIS</t>
  </si>
  <si>
    <t>RIYAD</t>
  </si>
  <si>
    <t>KSAR</t>
  </si>
  <si>
    <t>TVZ SUD</t>
  </si>
  <si>
    <t>DAR NAIM-SUD 1</t>
  </si>
  <si>
    <t>ARAFAT</t>
  </si>
  <si>
    <t>TVZ NORD 2</t>
  </si>
  <si>
    <t>CARREFOUR</t>
  </si>
  <si>
    <t>TOUJOUNINE</t>
  </si>
  <si>
    <t>DAR NAIM-NORD</t>
  </si>
  <si>
    <t>CAPITALE</t>
  </si>
  <si>
    <t>EL MINA</t>
  </si>
  <si>
    <t>MELLAH 2</t>
  </si>
  <si>
    <t>SEBKHA</t>
  </si>
  <si>
    <t>TVZ NORD 1</t>
  </si>
  <si>
    <t>WAD NAGA</t>
  </si>
  <si>
    <t>ZONE</t>
  </si>
  <si>
    <t>OBJECTIFS MOIS</t>
  </si>
  <si>
    <t>NOUADHIBOU 3</t>
  </si>
  <si>
    <t>NOUADHIBOU 1</t>
  </si>
  <si>
    <t>NOUADHIBOU 2</t>
  </si>
  <si>
    <t>CHAMI</t>
  </si>
  <si>
    <t>OBJECTIFS DU MOIS</t>
  </si>
  <si>
    <t>SUD</t>
  </si>
  <si>
    <t>NORD</t>
  </si>
  <si>
    <t>AOUJEFT</t>
  </si>
  <si>
    <t>FDEIRICK</t>
  </si>
  <si>
    <t>CHINGUITY</t>
  </si>
  <si>
    <t>ATAR</t>
  </si>
  <si>
    <t>TIDJIKJA</t>
  </si>
  <si>
    <t>OUADANE</t>
  </si>
  <si>
    <t>TICHIT</t>
  </si>
  <si>
    <t>MOUDJERIA</t>
  </si>
  <si>
    <t>BENICHAB</t>
  </si>
  <si>
    <t>AKJOUJT</t>
  </si>
  <si>
    <t>MEDERDRA</t>
  </si>
  <si>
    <t>ROSSO</t>
  </si>
  <si>
    <t>BOUTILIMIT</t>
  </si>
  <si>
    <t>RKIZ</t>
  </si>
  <si>
    <t>KEUR MACENE</t>
  </si>
  <si>
    <t>TEKANE</t>
  </si>
  <si>
    <t>N'BEIKETTE LEHWACH</t>
  </si>
  <si>
    <t>BARKEOL</t>
  </si>
  <si>
    <t xml:space="preserve">AIWNAT ZBEL  </t>
  </si>
  <si>
    <t>TINTANE NOUVEAU</t>
  </si>
  <si>
    <t>NEMA</t>
  </si>
  <si>
    <t>KOUBENNI</t>
  </si>
  <si>
    <t>BOUMDEID</t>
  </si>
  <si>
    <t>DJIGUENI</t>
  </si>
  <si>
    <t>TIMBEDRA</t>
  </si>
  <si>
    <t>BASSIKNOU</t>
  </si>
  <si>
    <t>TOUIL</t>
  </si>
  <si>
    <t>AIOUN EL ATROUSS</t>
  </si>
  <si>
    <t>KANKOUSSA</t>
  </si>
  <si>
    <t>TAMCHAKET</t>
  </si>
  <si>
    <t>OULATA</t>
  </si>
  <si>
    <t>VASSALA</t>
  </si>
  <si>
    <t>GUEROU</t>
  </si>
  <si>
    <t>TERMESSA</t>
  </si>
  <si>
    <t>ADEL BAGROU</t>
  </si>
  <si>
    <t>AMOURJ</t>
  </si>
  <si>
    <t>BOUHDIDA</t>
  </si>
  <si>
    <t>ALEG</t>
  </si>
  <si>
    <t>M'BOUT</t>
  </si>
  <si>
    <t>MAAL</t>
  </si>
  <si>
    <t>CHOGGAR</t>
  </si>
  <si>
    <t>KAEDI</t>
  </si>
  <si>
    <t>LEXEIBA</t>
  </si>
  <si>
    <t>MAGTALAHAJAR</t>
  </si>
  <si>
    <t>OULD YENGE</t>
  </si>
  <si>
    <t>BOGHE</t>
  </si>
  <si>
    <t>MAGHAMA</t>
  </si>
  <si>
    <t>BABABE</t>
  </si>
  <si>
    <t>WOMPOU</t>
  </si>
  <si>
    <t>SELIBABY</t>
  </si>
  <si>
    <t>M'BAGNE</t>
  </si>
  <si>
    <t>GHABOU</t>
  </si>
  <si>
    <t>MONGUEL</t>
  </si>
  <si>
    <t>SANGRAVA</t>
  </si>
  <si>
    <t>TEYARETT 2</t>
  </si>
  <si>
    <t>CARREFOUR 2</t>
  </si>
  <si>
    <t>TARHIL 1</t>
  </si>
  <si>
    <t>TARHIL 2</t>
  </si>
  <si>
    <t>TARHIL 3</t>
  </si>
  <si>
    <t>RIYADH 2</t>
  </si>
  <si>
    <t>MELLAH 3</t>
  </si>
  <si>
    <t>OUEST</t>
  </si>
  <si>
    <t>TEYARETT 1</t>
  </si>
  <si>
    <t>DAR NAIM-SUD 2</t>
  </si>
  <si>
    <t>MELLAH 1</t>
  </si>
  <si>
    <t>ZONE NKTT NORD</t>
  </si>
  <si>
    <t>ZONE SUD</t>
  </si>
  <si>
    <t>ZONE NKTT SUD</t>
  </si>
  <si>
    <t xml:space="preserve">ZONE NKTT OUEST </t>
  </si>
  <si>
    <t>TOTAL NOUAKCHOTT</t>
  </si>
  <si>
    <t>ZONE NDB</t>
  </si>
  <si>
    <t>ZONE TRARZA</t>
  </si>
  <si>
    <t>ZONE NORD</t>
  </si>
  <si>
    <t>DEP</t>
  </si>
  <si>
    <t>Total EXP</t>
  </si>
  <si>
    <t>NKTT</t>
  </si>
  <si>
    <t>NDB</t>
  </si>
  <si>
    <t>INT</t>
  </si>
  <si>
    <t>TVZ NORD 3</t>
  </si>
  <si>
    <t>Total SNDE</t>
  </si>
  <si>
    <t>KIFFA 2</t>
  </si>
  <si>
    <t>KIFFA 1</t>
  </si>
  <si>
    <t>OBJECTIF DG</t>
  </si>
  <si>
    <t>OBJECTIF JDC</t>
  </si>
  <si>
    <t>OBJECTIF DC</t>
  </si>
  <si>
    <t>OBJECTIFS DC</t>
  </si>
  <si>
    <t xml:space="preserve">% </t>
  </si>
  <si>
    <t>Encaissement Cumulé</t>
  </si>
  <si>
    <t>%</t>
  </si>
  <si>
    <t>ZONE CENTRE</t>
  </si>
  <si>
    <t>ZONE EST</t>
  </si>
  <si>
    <t>RIYADH 3</t>
  </si>
  <si>
    <t>TOTAL DB</t>
  </si>
  <si>
    <t>TOTAL INTERIEUR</t>
  </si>
  <si>
    <t>TOTAL SNDE</t>
  </si>
  <si>
    <t>Total général</t>
  </si>
  <si>
    <t>TOTAL ZONE NKTT NORD</t>
  </si>
  <si>
    <t>TOTAL ZONE NKTT OUEST</t>
  </si>
  <si>
    <t>TOTAL ZONE NKTT SUD</t>
  </si>
  <si>
    <t>TOTAL ZONE NDB</t>
  </si>
  <si>
    <t>TOTAL ZONE INT EST</t>
  </si>
  <si>
    <t>TOTAL ZONE INT SUD</t>
  </si>
  <si>
    <t>TOTAL ZONE INT NORD</t>
  </si>
  <si>
    <t>TOTAL ZONE INT CENTRE</t>
  </si>
  <si>
    <t>TOTAL ZONE INT TRARZA</t>
  </si>
  <si>
    <t>INT NORD</t>
  </si>
  <si>
    <t>NKTT NORD</t>
  </si>
  <si>
    <t>INT EST</t>
  </si>
  <si>
    <t>INT SUD</t>
  </si>
  <si>
    <t>INT TRARZA</t>
  </si>
  <si>
    <t>NKTT OUEST</t>
  </si>
  <si>
    <t>INT CENTRE</t>
  </si>
  <si>
    <t>NKTT SUD</t>
  </si>
  <si>
    <t>NOUALKCHOTT</t>
  </si>
  <si>
    <t>ECART</t>
  </si>
  <si>
    <t>TOTAL ZONES NKTT</t>
  </si>
  <si>
    <t>NOUADHIBOU</t>
  </si>
  <si>
    <t>INTERIEUR</t>
  </si>
  <si>
    <t xml:space="preserve">TOTAL ZONES INT </t>
  </si>
  <si>
    <t>SUIVI OBJECTIFS EN ENCAISSEMENTS GLOBAUX</t>
  </si>
  <si>
    <t>TOTAL ZONE SUD</t>
  </si>
  <si>
    <t>TOTAL ZONE INT NRD</t>
  </si>
  <si>
    <t>ENCAISSEMENTS GLOBAUX</t>
  </si>
  <si>
    <t>ENCAISSEMENTS BLOBAUX</t>
  </si>
  <si>
    <t>COMPARAISON DES ENCAISSEMENTS GLOBAUX ENTRE AVRIL 2026 ET DECMBRE 2025</t>
  </si>
  <si>
    <t>ENCAISSEMENTS GLOBAUX PAR ZONE POUR LE MOIS D'AVRIL 2026</t>
  </si>
  <si>
    <t>Exp</t>
  </si>
  <si>
    <t>ENCAISSEMENTS AU 12/04/2026</t>
  </si>
  <si>
    <t>ENCAISSEMENTS AU 12/12/2025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</si>
</sst>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indexed="8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indexed="8"/>
      <name val="Calibri"/>
      <family val="2"/>
      <scheme val="minor"/>
    </font>
    <font>
      <b/>
      <sz val="11"/>
      <color indexed="8"/>
      <name val="Calibri"/>
      <family val="2"/>
      <scheme val="minor"/>
    </font>
    <font>
      <sz val="8"/>
      <color indexed="8"/>
      <name val="Calibri"/>
      <family val="2"/>
      <scheme val="minor"/>
    </font>
    <font>
      <b/>
      <sz val="12"/>
      <color indexed="8"/>
      <name val="Calibri"/>
      <family val="2"/>
      <scheme val="minor"/>
    </font>
    <font>
      <b/>
      <sz val="8"/>
      <color indexed="8"/>
      <name val="Calibri"/>
      <family val="2"/>
      <scheme val="minor"/>
    </font>
    <font>
      <sz val="11"/>
      <name val="Calibri"/>
      <family val="2"/>
      <scheme val="minor"/>
    </font>
    <font>
      <sz val="12"/>
      <color indexed="8"/>
      <name val="Calibri"/>
      <family val="2"/>
      <scheme val="minor"/>
    </font>
    <font>
      <sz val="12"/>
      <color theme="0"/>
      <name val="Calibri"/>
      <family val="2"/>
      <scheme val="minor"/>
    </font>
    <font>
      <sz val="8"/>
      <name val="Calibri"/>
      <family val="2"/>
      <scheme val="minor"/>
    </font>
    <font>
      <sz val="14"/>
      <color theme="0"/>
      <name val="Calibri"/>
      <family val="2"/>
      <scheme val="minor"/>
    </font>
    <font>
      <b/>
      <sz val="11"/>
      <color rgb="FF000000"/>
      <name val="Calibri"/>
      <family val="2"/>
      <scheme val="minor"/>
    </font>
    <font>
      <b/>
      <sz val="14"/>
      <color theme="0"/>
      <name val="Calibri"/>
      <family val="2"/>
      <scheme val="minor"/>
    </font>
    <font>
      <b/>
      <sz val="10"/>
      <name val="Calibri"/>
      <family val="2"/>
      <scheme val="minor"/>
    </font>
    <font>
      <b/>
      <sz val="11"/>
      <name val="Calibri"/>
      <family val="2"/>
      <scheme val="minor"/>
    </font>
  </fonts>
  <fills count="22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FF7C80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34998626667073579"/>
        <bgColor indexed="64"/>
      </patternFill>
    </fill>
  </fills>
  <borders count="5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theme="0"/>
      </left>
      <right/>
      <top style="thin">
        <color indexed="64"/>
      </top>
      <bottom style="thin">
        <color indexed="64"/>
      </bottom>
      <diagonal/>
    </border>
    <border>
      <left style="thin">
        <color theme="0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theme="0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0"/>
      </left>
      <right style="thin">
        <color theme="0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theme="0"/>
      </right>
      <top style="thin">
        <color indexed="64"/>
      </top>
      <bottom style="thin">
        <color indexed="64"/>
      </bottom>
      <diagonal/>
    </border>
    <border>
      <left style="thin">
        <color theme="0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theme="0"/>
      </left>
      <right/>
      <top style="medium">
        <color indexed="64"/>
      </top>
      <bottom style="medium">
        <color indexed="64"/>
      </bottom>
      <diagonal/>
    </border>
    <border>
      <left style="thin">
        <color theme="0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3">
    <xf numFmtId="0" fontId="0" fillId="0" borderId="0"/>
    <xf numFmtId="9" fontId="4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86">
    <xf numFmtId="0" fontId="0" fillId="0" borderId="0" xfId="0"/>
    <xf numFmtId="0" fontId="5" fillId="0" borderId="0" xfId="0" applyFont="1"/>
    <xf numFmtId="0" fontId="6" fillId="0" borderId="0" xfId="0" applyFont="1"/>
    <xf numFmtId="0" fontId="8" fillId="0" borderId="0" xfId="0" applyFont="1"/>
    <xf numFmtId="0" fontId="2" fillId="4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left" vertical="center" wrapText="1"/>
    </xf>
    <xf numFmtId="3" fontId="0" fillId="5" borderId="1" xfId="0" applyNumberFormat="1" applyFill="1" applyBorder="1" applyAlignment="1">
      <alignment horizontal="center"/>
    </xf>
    <xf numFmtId="0" fontId="0" fillId="5" borderId="1" xfId="0" applyFill="1" applyBorder="1"/>
    <xf numFmtId="3" fontId="0" fillId="5" borderId="1" xfId="0" applyNumberFormat="1" applyFill="1" applyBorder="1"/>
    <xf numFmtId="1" fontId="0" fillId="0" borderId="1" xfId="0" applyNumberFormat="1" applyBorder="1"/>
    <xf numFmtId="3" fontId="0" fillId="0" borderId="1" xfId="0" applyNumberFormat="1" applyBorder="1"/>
    <xf numFmtId="3" fontId="9" fillId="6" borderId="1" xfId="0" applyNumberFormat="1" applyFont="1" applyFill="1" applyBorder="1"/>
    <xf numFmtId="9" fontId="10" fillId="7" borderId="1" xfId="1" applyFont="1" applyFill="1" applyBorder="1" applyAlignment="1">
      <alignment horizontal="center"/>
    </xf>
    <xf numFmtId="9" fontId="10" fillId="8" borderId="1" xfId="1" applyFont="1" applyFill="1" applyBorder="1" applyAlignment="1">
      <alignment horizontal="center"/>
    </xf>
    <xf numFmtId="3" fontId="3" fillId="9" borderId="3" xfId="0" applyNumberFormat="1" applyFont="1" applyFill="1" applyBorder="1" applyAlignment="1">
      <alignment vertical="center"/>
    </xf>
    <xf numFmtId="0" fontId="0" fillId="0" borderId="0" xfId="0" applyAlignment="1">
      <alignment vertical="center"/>
    </xf>
    <xf numFmtId="0" fontId="10" fillId="0" borderId="1" xfId="0" applyFont="1" applyBorder="1" applyAlignment="1">
      <alignment horizontal="center"/>
    </xf>
    <xf numFmtId="0" fontId="10" fillId="0" borderId="1" xfId="0" applyFont="1" applyBorder="1" applyAlignment="1">
      <alignment horizontal="left"/>
    </xf>
    <xf numFmtId="3" fontId="10" fillId="0" borderId="1" xfId="0" applyNumberFormat="1" applyFont="1" applyBorder="1"/>
    <xf numFmtId="9" fontId="10" fillId="11" borderId="1" xfId="1" applyFont="1" applyFill="1" applyBorder="1" applyAlignment="1">
      <alignment horizontal="center"/>
    </xf>
    <xf numFmtId="3" fontId="11" fillId="9" borderId="7" xfId="0" applyNumberFormat="1" applyFont="1" applyFill="1" applyBorder="1"/>
    <xf numFmtId="3" fontId="11" fillId="9" borderId="1" xfId="0" applyNumberFormat="1" applyFont="1" applyFill="1" applyBorder="1"/>
    <xf numFmtId="3" fontId="11" fillId="9" borderId="8" xfId="0" applyNumberFormat="1" applyFont="1" applyFill="1" applyBorder="1"/>
    <xf numFmtId="9" fontId="11" fillId="9" borderId="7" xfId="1" applyFont="1" applyFill="1" applyBorder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3" fontId="0" fillId="0" borderId="0" xfId="0" applyNumberFormat="1"/>
    <xf numFmtId="9" fontId="0" fillId="10" borderId="1" xfId="0" applyNumberFormat="1" applyFill="1" applyBorder="1" applyAlignment="1">
      <alignment horizontal="center"/>
    </xf>
    <xf numFmtId="9" fontId="0" fillId="12" borderId="1" xfId="2" applyFont="1" applyFill="1" applyBorder="1" applyAlignment="1">
      <alignment horizontal="center"/>
    </xf>
    <xf numFmtId="9" fontId="0" fillId="11" borderId="1" xfId="0" applyNumberFormat="1" applyFill="1" applyBorder="1" applyAlignment="1">
      <alignment horizontal="center"/>
    </xf>
    <xf numFmtId="9" fontId="11" fillId="9" borderId="1" xfId="1" applyFont="1" applyFill="1" applyBorder="1" applyAlignment="1">
      <alignment horizontal="center"/>
    </xf>
    <xf numFmtId="3" fontId="11" fillId="9" borderId="3" xfId="0" applyNumberFormat="1" applyFont="1" applyFill="1" applyBorder="1"/>
    <xf numFmtId="3" fontId="11" fillId="9" borderId="5" xfId="0" applyNumberFormat="1" applyFont="1" applyFill="1" applyBorder="1"/>
    <xf numFmtId="9" fontId="11" fillId="9" borderId="4" xfId="1" applyFont="1" applyFill="1" applyBorder="1" applyAlignment="1">
      <alignment horizontal="center"/>
    </xf>
    <xf numFmtId="0" fontId="9" fillId="5" borderId="1" xfId="0" applyFont="1" applyFill="1" applyBorder="1"/>
    <xf numFmtId="0" fontId="0" fillId="0" borderId="1" xfId="0" applyBorder="1"/>
    <xf numFmtId="3" fontId="3" fillId="9" borderId="5" xfId="0" applyNumberFormat="1" applyFont="1" applyFill="1" applyBorder="1"/>
    <xf numFmtId="3" fontId="3" fillId="9" borderId="3" xfId="0" applyNumberFormat="1" applyFont="1" applyFill="1" applyBorder="1"/>
    <xf numFmtId="3" fontId="9" fillId="0" borderId="1" xfId="0" applyNumberFormat="1" applyFont="1" applyBorder="1"/>
    <xf numFmtId="14" fontId="8" fillId="13" borderId="1" xfId="0" applyNumberFormat="1" applyFont="1" applyFill="1" applyBorder="1" applyAlignment="1">
      <alignment vertical="center"/>
    </xf>
    <xf numFmtId="0" fontId="8" fillId="13" borderId="1" xfId="0" applyFont="1" applyFill="1" applyBorder="1" applyAlignment="1">
      <alignment vertical="center"/>
    </xf>
    <xf numFmtId="9" fontId="3" fillId="9" borderId="3" xfId="1" applyFont="1" applyFill="1" applyBorder="1" applyAlignment="1">
      <alignment horizontal="center" vertical="center"/>
    </xf>
    <xf numFmtId="0" fontId="3" fillId="9" borderId="0" xfId="0" applyFont="1" applyFill="1"/>
    <xf numFmtId="3" fontId="3" fillId="9" borderId="10" xfId="0" applyNumberFormat="1" applyFont="1" applyFill="1" applyBorder="1"/>
    <xf numFmtId="3" fontId="0" fillId="6" borderId="1" xfId="0" applyNumberFormat="1" applyFill="1" applyBorder="1"/>
    <xf numFmtId="0" fontId="3" fillId="9" borderId="2" xfId="0" applyFont="1" applyFill="1" applyBorder="1" applyAlignment="1">
      <alignment vertical="center"/>
    </xf>
    <xf numFmtId="0" fontId="3" fillId="9" borderId="5" xfId="0" applyFont="1" applyFill="1" applyBorder="1" applyAlignment="1">
      <alignment vertical="center"/>
    </xf>
    <xf numFmtId="0" fontId="3" fillId="9" borderId="6" xfId="0" applyFont="1" applyFill="1" applyBorder="1" applyAlignment="1">
      <alignment vertical="center"/>
    </xf>
    <xf numFmtId="3" fontId="0" fillId="15" borderId="1" xfId="0" applyNumberFormat="1" applyFill="1" applyBorder="1"/>
    <xf numFmtId="0" fontId="10" fillId="5" borderId="1" xfId="0" applyFont="1" applyFill="1" applyBorder="1" applyAlignment="1">
      <alignment horizontal="left"/>
    </xf>
    <xf numFmtId="0" fontId="11" fillId="9" borderId="2" xfId="0" applyFont="1" applyFill="1" applyBorder="1"/>
    <xf numFmtId="0" fontId="11" fillId="9" borderId="7" xfId="0" applyFont="1" applyFill="1" applyBorder="1"/>
    <xf numFmtId="0" fontId="0" fillId="14" borderId="1" xfId="0" applyFill="1" applyBorder="1"/>
    <xf numFmtId="3" fontId="0" fillId="5" borderId="1" xfId="0" applyNumberFormat="1" applyFill="1" applyBorder="1" applyAlignment="1">
      <alignment horizontal="center" vertical="center"/>
    </xf>
    <xf numFmtId="3" fontId="0" fillId="5" borderId="1" xfId="0" applyNumberFormat="1" applyFill="1" applyBorder="1" applyAlignment="1">
      <alignment vertical="center"/>
    </xf>
    <xf numFmtId="0" fontId="0" fillId="5" borderId="1" xfId="0" applyFill="1" applyBorder="1" applyAlignment="1">
      <alignment vertical="center"/>
    </xf>
    <xf numFmtId="0" fontId="0" fillId="0" borderId="0" xfId="0" applyAlignment="1">
      <alignment vertical="center" wrapText="1"/>
    </xf>
    <xf numFmtId="3" fontId="3" fillId="9" borderId="6" xfId="0" applyNumberFormat="1" applyFont="1" applyFill="1" applyBorder="1" applyAlignment="1">
      <alignment vertical="center"/>
    </xf>
    <xf numFmtId="9" fontId="3" fillId="9" borderId="6" xfId="1" applyFont="1" applyFill="1" applyBorder="1" applyAlignment="1">
      <alignment horizontal="center" vertical="center"/>
    </xf>
    <xf numFmtId="3" fontId="0" fillId="5" borderId="11" xfId="0" applyNumberFormat="1" applyFill="1" applyBorder="1" applyAlignment="1">
      <alignment horizontal="center"/>
    </xf>
    <xf numFmtId="3" fontId="0" fillId="5" borderId="11" xfId="0" applyNumberFormat="1" applyFill="1" applyBorder="1"/>
    <xf numFmtId="0" fontId="0" fillId="5" borderId="1" xfId="0" applyFill="1" applyBorder="1" applyAlignment="1">
      <alignment horizontal="left" vertical="center"/>
    </xf>
    <xf numFmtId="3" fontId="11" fillId="9" borderId="6" xfId="0" applyNumberFormat="1" applyFont="1" applyFill="1" applyBorder="1" applyAlignment="1">
      <alignment vertical="center"/>
    </xf>
    <xf numFmtId="9" fontId="11" fillId="9" borderId="6" xfId="1" applyFont="1" applyFill="1" applyBorder="1" applyAlignment="1">
      <alignment horizontal="center" vertical="center"/>
    </xf>
    <xf numFmtId="0" fontId="14" fillId="0" borderId="0" xfId="0" applyFont="1"/>
    <xf numFmtId="0" fontId="2" fillId="0" borderId="0" xfId="0" applyFont="1" applyAlignment="1">
      <alignment horizontal="left"/>
    </xf>
    <xf numFmtId="3" fontId="3" fillId="0" borderId="0" xfId="0" applyNumberFormat="1" applyFont="1"/>
    <xf numFmtId="9" fontId="11" fillId="0" borderId="0" xfId="1" applyFont="1" applyFill="1" applyBorder="1" applyAlignment="1">
      <alignment horizontal="center"/>
    </xf>
    <xf numFmtId="3" fontId="9" fillId="14" borderId="1" xfId="0" applyNumberFormat="1" applyFont="1" applyFill="1" applyBorder="1"/>
    <xf numFmtId="0" fontId="15" fillId="9" borderId="16" xfId="0" applyFont="1" applyFill="1" applyBorder="1"/>
    <xf numFmtId="3" fontId="9" fillId="14" borderId="13" xfId="0" applyNumberFormat="1" applyFont="1" applyFill="1" applyBorder="1"/>
    <xf numFmtId="0" fontId="0" fillId="0" borderId="1" xfId="0" applyBorder="1" applyAlignment="1">
      <alignment horizontal="center"/>
    </xf>
    <xf numFmtId="14" fontId="7" fillId="0" borderId="0" xfId="0" applyNumberFormat="1" applyFont="1"/>
    <xf numFmtId="0" fontId="0" fillId="5" borderId="11" xfId="0" applyFill="1" applyBorder="1"/>
    <xf numFmtId="0" fontId="16" fillId="14" borderId="12" xfId="0" applyFont="1" applyFill="1" applyBorder="1" applyAlignment="1">
      <alignment horizontal="left"/>
    </xf>
    <xf numFmtId="0" fontId="16" fillId="14" borderId="14" xfId="0" applyFont="1" applyFill="1" applyBorder="1" applyAlignment="1">
      <alignment horizontal="left"/>
    </xf>
    <xf numFmtId="0" fontId="16" fillId="14" borderId="15" xfId="0" applyFont="1" applyFill="1" applyBorder="1" applyAlignment="1">
      <alignment horizontal="left"/>
    </xf>
    <xf numFmtId="0" fontId="16" fillId="14" borderId="15" xfId="0" applyFont="1" applyFill="1" applyBorder="1" applyAlignment="1">
      <alignment vertical="center"/>
    </xf>
    <xf numFmtId="0" fontId="16" fillId="14" borderId="15" xfId="0" applyFont="1" applyFill="1" applyBorder="1"/>
    <xf numFmtId="9" fontId="10" fillId="17" borderId="1" xfId="1" applyFont="1" applyFill="1" applyBorder="1" applyAlignment="1">
      <alignment horizontal="center"/>
    </xf>
    <xf numFmtId="9" fontId="9" fillId="6" borderId="1" xfId="1" applyFont="1" applyFill="1" applyBorder="1" applyAlignment="1">
      <alignment horizontal="center"/>
    </xf>
    <xf numFmtId="0" fontId="7" fillId="0" borderId="0" xfId="0" applyFont="1" applyAlignment="1">
      <alignment horizontal="center"/>
    </xf>
    <xf numFmtId="14" fontId="7" fillId="0" borderId="0" xfId="0" applyNumberFormat="1" applyFont="1" applyAlignment="1">
      <alignment horizontal="center"/>
    </xf>
    <xf numFmtId="0" fontId="2" fillId="4" borderId="17" xfId="0" applyFont="1" applyFill="1" applyBorder="1" applyAlignment="1">
      <alignment horizontal="left" vertical="center" wrapText="1"/>
    </xf>
    <xf numFmtId="0" fontId="2" fillId="4" borderId="13" xfId="0" applyFont="1" applyFill="1" applyBorder="1" applyAlignment="1">
      <alignment horizontal="center" vertical="center" wrapText="1"/>
    </xf>
    <xf numFmtId="0" fontId="2" fillId="4" borderId="13" xfId="0" applyFont="1" applyFill="1" applyBorder="1" applyAlignment="1">
      <alignment horizontal="left" vertical="center" wrapText="1"/>
    </xf>
    <xf numFmtId="0" fontId="2" fillId="4" borderId="18" xfId="0" applyFont="1" applyFill="1" applyBorder="1" applyAlignment="1">
      <alignment horizontal="center" vertical="center" wrapText="1"/>
    </xf>
    <xf numFmtId="3" fontId="2" fillId="4" borderId="19" xfId="0" applyNumberFormat="1" applyFont="1" applyFill="1" applyBorder="1" applyAlignment="1">
      <alignment horizontal="center" vertical="center" wrapText="1"/>
    </xf>
    <xf numFmtId="0" fontId="2" fillId="4" borderId="19" xfId="0" applyFont="1" applyFill="1" applyBorder="1" applyAlignment="1">
      <alignment horizontal="center" vertical="center" wrapText="1"/>
    </xf>
    <xf numFmtId="0" fontId="0" fillId="0" borderId="15" xfId="0" applyBorder="1"/>
    <xf numFmtId="3" fontId="0" fillId="0" borderId="20" xfId="0" applyNumberFormat="1" applyBorder="1"/>
    <xf numFmtId="3" fontId="0" fillId="6" borderId="21" xfId="0" applyNumberFormat="1" applyFill="1" applyBorder="1"/>
    <xf numFmtId="3" fontId="11" fillId="9" borderId="24" xfId="0" applyNumberFormat="1" applyFont="1" applyFill="1" applyBorder="1"/>
    <xf numFmtId="0" fontId="0" fillId="12" borderId="0" xfId="0" applyFill="1"/>
    <xf numFmtId="3" fontId="11" fillId="9" borderId="16" xfId="0" applyNumberFormat="1" applyFont="1" applyFill="1" applyBorder="1"/>
    <xf numFmtId="3" fontId="11" fillId="9" borderId="25" xfId="0" applyNumberFormat="1" applyFont="1" applyFill="1" applyBorder="1"/>
    <xf numFmtId="3" fontId="11" fillId="9" borderId="27" xfId="0" applyNumberFormat="1" applyFont="1" applyFill="1" applyBorder="1"/>
    <xf numFmtId="3" fontId="11" fillId="9" borderId="28" xfId="0" applyNumberFormat="1" applyFont="1" applyFill="1" applyBorder="1"/>
    <xf numFmtId="3" fontId="11" fillId="9" borderId="26" xfId="0" applyNumberFormat="1" applyFont="1" applyFill="1" applyBorder="1"/>
    <xf numFmtId="0" fontId="0" fillId="0" borderId="29" xfId="0" applyBorder="1"/>
    <xf numFmtId="0" fontId="2" fillId="4" borderId="30" xfId="0" applyFont="1" applyFill="1" applyBorder="1" applyAlignment="1">
      <alignment horizontal="center" vertical="center" wrapText="1"/>
    </xf>
    <xf numFmtId="3" fontId="11" fillId="9" borderId="31" xfId="0" applyNumberFormat="1" applyFont="1" applyFill="1" applyBorder="1"/>
    <xf numFmtId="9" fontId="11" fillId="9" borderId="32" xfId="1" applyFont="1" applyFill="1" applyBorder="1" applyAlignment="1">
      <alignment horizontal="center"/>
    </xf>
    <xf numFmtId="0" fontId="13" fillId="16" borderId="33" xfId="0" applyFont="1" applyFill="1" applyBorder="1"/>
    <xf numFmtId="0" fontId="13" fillId="16" borderId="29" xfId="0" applyFont="1" applyFill="1" applyBorder="1"/>
    <xf numFmtId="3" fontId="11" fillId="16" borderId="34" xfId="0" applyNumberFormat="1" applyFont="1" applyFill="1" applyBorder="1"/>
    <xf numFmtId="9" fontId="11" fillId="16" borderId="35" xfId="1" applyFont="1" applyFill="1" applyBorder="1" applyAlignment="1">
      <alignment horizontal="center"/>
    </xf>
    <xf numFmtId="9" fontId="10" fillId="18" borderId="1" xfId="1" applyFont="1" applyFill="1" applyBorder="1" applyAlignment="1">
      <alignment horizontal="center"/>
    </xf>
    <xf numFmtId="9" fontId="10" fillId="19" borderId="1" xfId="1" applyFont="1" applyFill="1" applyBorder="1" applyAlignment="1">
      <alignment horizontal="center"/>
    </xf>
    <xf numFmtId="3" fontId="0" fillId="10" borderId="21" xfId="0" applyNumberFormat="1" applyFill="1" applyBorder="1"/>
    <xf numFmtId="3" fontId="0" fillId="18" borderId="21" xfId="0" applyNumberFormat="1" applyFill="1" applyBorder="1"/>
    <xf numFmtId="3" fontId="0" fillId="11" borderId="21" xfId="0" applyNumberFormat="1" applyFill="1" applyBorder="1"/>
    <xf numFmtId="0" fontId="0" fillId="0" borderId="37" xfId="0" applyBorder="1"/>
    <xf numFmtId="3" fontId="0" fillId="5" borderId="38" xfId="0" applyNumberFormat="1" applyFill="1" applyBorder="1" applyAlignment="1">
      <alignment horizontal="center"/>
    </xf>
    <xf numFmtId="0" fontId="0" fillId="0" borderId="17" xfId="0" applyBorder="1"/>
    <xf numFmtId="3" fontId="0" fillId="5" borderId="13" xfId="0" applyNumberFormat="1" applyFill="1" applyBorder="1" applyAlignment="1">
      <alignment horizontal="center"/>
    </xf>
    <xf numFmtId="0" fontId="0" fillId="5" borderId="13" xfId="0" applyFill="1" applyBorder="1"/>
    <xf numFmtId="0" fontId="0" fillId="0" borderId="13" xfId="0" applyBorder="1"/>
    <xf numFmtId="3" fontId="0" fillId="0" borderId="40" xfId="0" applyNumberFormat="1" applyBorder="1"/>
    <xf numFmtId="0" fontId="2" fillId="4" borderId="41" xfId="0" applyFont="1" applyFill="1" applyBorder="1" applyAlignment="1">
      <alignment horizontal="left" vertical="center" wrapText="1"/>
    </xf>
    <xf numFmtId="0" fontId="2" fillId="4" borderId="42" xfId="0" applyFont="1" applyFill="1" applyBorder="1" applyAlignment="1">
      <alignment horizontal="center" vertical="center" wrapText="1"/>
    </xf>
    <xf numFmtId="0" fontId="2" fillId="4" borderId="42" xfId="0" applyFont="1" applyFill="1" applyBorder="1" applyAlignment="1">
      <alignment horizontal="left" vertical="center" wrapText="1"/>
    </xf>
    <xf numFmtId="3" fontId="2" fillId="4" borderId="43" xfId="0" applyNumberFormat="1" applyFont="1" applyFill="1" applyBorder="1" applyAlignment="1">
      <alignment horizontal="center" vertical="center" wrapText="1"/>
    </xf>
    <xf numFmtId="3" fontId="0" fillId="0" borderId="18" xfId="0" applyNumberFormat="1" applyBorder="1"/>
    <xf numFmtId="0" fontId="0" fillId="0" borderId="44" xfId="0" applyBorder="1"/>
    <xf numFmtId="3" fontId="0" fillId="0" borderId="19" xfId="0" applyNumberFormat="1" applyBorder="1"/>
    <xf numFmtId="3" fontId="0" fillId="10" borderId="19" xfId="0" applyNumberFormat="1" applyFill="1" applyBorder="1"/>
    <xf numFmtId="3" fontId="0" fillId="0" borderId="25" xfId="0" applyNumberFormat="1" applyBorder="1"/>
    <xf numFmtId="0" fontId="0" fillId="0" borderId="25" xfId="0" applyBorder="1"/>
    <xf numFmtId="3" fontId="3" fillId="9" borderId="27" xfId="0" applyNumberFormat="1" applyFont="1" applyFill="1" applyBorder="1"/>
    <xf numFmtId="3" fontId="3" fillId="9" borderId="28" xfId="0" applyNumberFormat="1" applyFont="1" applyFill="1" applyBorder="1"/>
    <xf numFmtId="3" fontId="3" fillId="9" borderId="45" xfId="0" applyNumberFormat="1" applyFont="1" applyFill="1" applyBorder="1"/>
    <xf numFmtId="3" fontId="3" fillId="9" borderId="26" xfId="0" applyNumberFormat="1" applyFont="1" applyFill="1" applyBorder="1"/>
    <xf numFmtId="0" fontId="10" fillId="0" borderId="13" xfId="0" applyFont="1" applyBorder="1" applyAlignment="1">
      <alignment horizontal="center"/>
    </xf>
    <xf numFmtId="0" fontId="10" fillId="0" borderId="13" xfId="0" applyFont="1" applyBorder="1" applyAlignment="1">
      <alignment horizontal="left"/>
    </xf>
    <xf numFmtId="0" fontId="0" fillId="0" borderId="39" xfId="0" applyBorder="1"/>
    <xf numFmtId="3" fontId="0" fillId="0" borderId="39" xfId="0" applyNumberFormat="1" applyBorder="1"/>
    <xf numFmtId="0" fontId="0" fillId="0" borderId="2" xfId="0" applyBorder="1"/>
    <xf numFmtId="0" fontId="0" fillId="0" borderId="46" xfId="0" applyBorder="1"/>
    <xf numFmtId="0" fontId="0" fillId="0" borderId="7" xfId="0" applyBorder="1"/>
    <xf numFmtId="0" fontId="2" fillId="4" borderId="43" xfId="0" applyFont="1" applyFill="1" applyBorder="1" applyAlignment="1">
      <alignment horizontal="center" vertical="center" wrapText="1"/>
    </xf>
    <xf numFmtId="0" fontId="0" fillId="0" borderId="49" xfId="0" applyBorder="1"/>
    <xf numFmtId="3" fontId="0" fillId="0" borderId="50" xfId="0" applyNumberFormat="1" applyBorder="1"/>
    <xf numFmtId="3" fontId="0" fillId="20" borderId="40" xfId="0" applyNumberFormat="1" applyFill="1" applyBorder="1"/>
    <xf numFmtId="0" fontId="0" fillId="0" borderId="51" xfId="0" applyBorder="1"/>
    <xf numFmtId="3" fontId="0" fillId="0" borderId="46" xfId="0" applyNumberFormat="1" applyBorder="1"/>
    <xf numFmtId="3" fontId="3" fillId="9" borderId="52" xfId="0" applyNumberFormat="1" applyFont="1" applyFill="1" applyBorder="1"/>
    <xf numFmtId="3" fontId="11" fillId="9" borderId="22" xfId="0" applyNumberFormat="1" applyFont="1" applyFill="1" applyBorder="1"/>
    <xf numFmtId="3" fontId="3" fillId="9" borderId="53" xfId="0" applyNumberFormat="1" applyFont="1" applyFill="1" applyBorder="1"/>
    <xf numFmtId="3" fontId="11" fillId="9" borderId="50" xfId="0" applyNumberFormat="1" applyFont="1" applyFill="1" applyBorder="1"/>
    <xf numFmtId="3" fontId="11" fillId="9" borderId="53" xfId="0" applyNumberFormat="1" applyFont="1" applyFill="1" applyBorder="1"/>
    <xf numFmtId="3" fontId="0" fillId="0" borderId="43" xfId="0" applyNumberFormat="1" applyBorder="1"/>
    <xf numFmtId="3" fontId="0" fillId="20" borderId="25" xfId="0" applyNumberFormat="1" applyFill="1" applyBorder="1"/>
    <xf numFmtId="3" fontId="0" fillId="20" borderId="24" xfId="0" applyNumberFormat="1" applyFill="1" applyBorder="1"/>
    <xf numFmtId="3" fontId="3" fillId="9" borderId="36" xfId="0" applyNumberFormat="1" applyFont="1" applyFill="1" applyBorder="1"/>
    <xf numFmtId="3" fontId="0" fillId="20" borderId="21" xfId="0" applyNumberFormat="1" applyFill="1" applyBorder="1"/>
    <xf numFmtId="3" fontId="0" fillId="11" borderId="24" xfId="0" applyNumberFormat="1" applyFill="1" applyBorder="1"/>
    <xf numFmtId="0" fontId="0" fillId="0" borderId="18" xfId="0" applyBorder="1"/>
    <xf numFmtId="0" fontId="0" fillId="0" borderId="20" xfId="0" applyBorder="1"/>
    <xf numFmtId="0" fontId="17" fillId="0" borderId="0" xfId="0" applyFont="1" applyAlignment="1">
      <alignment horizontal="left"/>
    </xf>
    <xf numFmtId="3" fontId="0" fillId="0" borderId="21" xfId="0" applyNumberFormat="1" applyBorder="1"/>
    <xf numFmtId="9" fontId="9" fillId="11" borderId="1" xfId="1" applyFont="1" applyFill="1" applyBorder="1" applyAlignment="1">
      <alignment horizontal="center"/>
    </xf>
    <xf numFmtId="0" fontId="0" fillId="21" borderId="1" xfId="0" applyFill="1" applyBorder="1" applyAlignment="1">
      <alignment horizontal="center"/>
    </xf>
    <xf numFmtId="14" fontId="0" fillId="21" borderId="1" xfId="0" applyNumberFormat="1" applyFill="1" applyBorder="1"/>
    <xf numFmtId="0" fontId="0" fillId="21" borderId="1" xfId="0" applyFill="1" applyBorder="1"/>
    <xf numFmtId="3" fontId="0" fillId="18" borderId="19" xfId="0" applyNumberFormat="1" applyFill="1" applyBorder="1"/>
    <xf numFmtId="0" fontId="0" fillId="5" borderId="38" xfId="0" applyFill="1" applyBorder="1"/>
    <xf numFmtId="3" fontId="0" fillId="6" borderId="24" xfId="0" applyNumberFormat="1" applyFill="1" applyBorder="1"/>
    <xf numFmtId="0" fontId="11" fillId="9" borderId="2" xfId="0" applyFont="1" applyFill="1" applyBorder="1" applyAlignment="1">
      <alignment horizontal="left"/>
    </xf>
    <xf numFmtId="0" fontId="11" fillId="9" borderId="7" xfId="0" applyFont="1" applyFill="1" applyBorder="1" applyAlignment="1">
      <alignment horizontal="left"/>
    </xf>
    <xf numFmtId="0" fontId="2" fillId="9" borderId="4" xfId="0" applyFont="1" applyFill="1" applyBorder="1" applyAlignment="1">
      <alignment horizontal="left"/>
    </xf>
    <xf numFmtId="0" fontId="2" fillId="9" borderId="9" xfId="0" applyFont="1" applyFill="1" applyBorder="1" applyAlignment="1">
      <alignment horizontal="left"/>
    </xf>
    <xf numFmtId="0" fontId="7" fillId="0" borderId="0" xfId="0" applyFont="1" applyAlignment="1">
      <alignment horizontal="center"/>
    </xf>
    <xf numFmtId="14" fontId="7" fillId="0" borderId="0" xfId="0" applyNumberFormat="1" applyFont="1" applyAlignment="1">
      <alignment horizontal="center"/>
    </xf>
    <xf numFmtId="0" fontId="5" fillId="20" borderId="16" xfId="0" applyFont="1" applyFill="1" applyBorder="1" applyAlignment="1">
      <alignment horizontal="left"/>
    </xf>
    <xf numFmtId="0" fontId="5" fillId="20" borderId="25" xfId="0" applyFont="1" applyFill="1" applyBorder="1" applyAlignment="1">
      <alignment horizontal="left"/>
    </xf>
    <xf numFmtId="0" fontId="3" fillId="9" borderId="16" xfId="0" applyFont="1" applyFill="1" applyBorder="1" applyAlignment="1">
      <alignment horizontal="left" vertical="center"/>
    </xf>
    <xf numFmtId="0" fontId="3" fillId="9" borderId="25" xfId="0" applyFont="1" applyFill="1" applyBorder="1" applyAlignment="1">
      <alignment horizontal="left" vertical="center"/>
    </xf>
    <xf numFmtId="0" fontId="0" fillId="20" borderId="22" xfId="0" applyFill="1" applyBorder="1" applyAlignment="1">
      <alignment horizontal="left"/>
    </xf>
    <xf numFmtId="0" fontId="0" fillId="20" borderId="23" xfId="0" applyFill="1" applyBorder="1" applyAlignment="1">
      <alignment horizontal="left"/>
    </xf>
    <xf numFmtId="0" fontId="0" fillId="20" borderId="39" xfId="0" applyFill="1" applyBorder="1" applyAlignment="1">
      <alignment horizontal="left"/>
    </xf>
    <xf numFmtId="0" fontId="0" fillId="20" borderId="47" xfId="0" applyFill="1" applyBorder="1" applyAlignment="1">
      <alignment horizontal="left"/>
    </xf>
    <xf numFmtId="0" fontId="0" fillId="20" borderId="31" xfId="0" applyFill="1" applyBorder="1" applyAlignment="1">
      <alignment horizontal="left"/>
    </xf>
    <xf numFmtId="0" fontId="0" fillId="20" borderId="48" xfId="0" applyFill="1" applyBorder="1" applyAlignment="1">
      <alignment horizontal="left"/>
    </xf>
    <xf numFmtId="0" fontId="7" fillId="2" borderId="1" xfId="0" applyFont="1" applyFill="1" applyBorder="1" applyAlignment="1">
      <alignment horizontal="center"/>
    </xf>
    <xf numFmtId="14" fontId="7" fillId="3" borderId="1" xfId="0" applyNumberFormat="1" applyFont="1" applyFill="1" applyBorder="1" applyAlignment="1">
      <alignment horizontal="center"/>
    </xf>
  </cellXfs>
  <cellStyles count="3">
    <cellStyle name="Normal" xfId="0" builtinId="0"/>
    <cellStyle name="Pourcentage" xfId="1" builtinId="5"/>
    <cellStyle name="Pourcentage 2" xfId="2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F:\Etat_encaissementsTot%20(10).xlsx" TargetMode="External"/><Relationship Id="rId1" Type="http://schemas.openxmlformats.org/officeDocument/2006/relationships/externalLinkPath" Target="file:///F:\Etat_encaissementsTot%20(10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Feuil1"/>
      <sheetName val="Feuil3"/>
      <sheetName val="Feuil2"/>
      <sheetName val="Feuil4"/>
      <sheetName val="Feuil5"/>
      <sheetName val="Etat encaissements total"/>
    </sheetNames>
    <sheetDataSet>
      <sheetData sheetId="0" refreshError="1"/>
      <sheetData sheetId="1" refreshError="1"/>
      <sheetData sheetId="2" refreshError="1"/>
      <sheetData sheetId="3" refreshError="1"/>
      <sheetData sheetId="4" refreshError="1">
        <row r="4">
          <cell r="B4">
            <v>14</v>
          </cell>
          <cell r="C4">
            <v>4000</v>
          </cell>
          <cell r="E4">
            <v>6585</v>
          </cell>
          <cell r="L4">
            <v>2102</v>
          </cell>
          <cell r="M4">
            <v>232</v>
          </cell>
          <cell r="N4">
            <v>150</v>
          </cell>
          <cell r="O4">
            <v>1500</v>
          </cell>
          <cell r="R4">
            <v>597</v>
          </cell>
          <cell r="V4">
            <v>15166</v>
          </cell>
        </row>
        <row r="5">
          <cell r="B5">
            <v>15</v>
          </cell>
          <cell r="E5">
            <v>6259</v>
          </cell>
          <cell r="F5">
            <v>9623</v>
          </cell>
          <cell r="H5">
            <v>2702</v>
          </cell>
          <cell r="J5">
            <v>2492</v>
          </cell>
          <cell r="K5">
            <v>256</v>
          </cell>
          <cell r="L5">
            <v>6447</v>
          </cell>
          <cell r="M5">
            <v>8749</v>
          </cell>
          <cell r="N5">
            <v>13511</v>
          </cell>
          <cell r="P5">
            <v>8074</v>
          </cell>
          <cell r="R5">
            <v>28841.4</v>
          </cell>
          <cell r="S5">
            <v>48470</v>
          </cell>
          <cell r="T5">
            <v>3791.3</v>
          </cell>
          <cell r="V5">
            <v>139215.69999999998</v>
          </cell>
        </row>
        <row r="6">
          <cell r="B6">
            <v>16</v>
          </cell>
          <cell r="E6">
            <v>607</v>
          </cell>
          <cell r="G6">
            <v>323</v>
          </cell>
          <cell r="H6">
            <v>9037</v>
          </cell>
          <cell r="K6">
            <v>223</v>
          </cell>
          <cell r="L6">
            <v>361</v>
          </cell>
          <cell r="O6">
            <v>420</v>
          </cell>
          <cell r="P6">
            <v>4229</v>
          </cell>
          <cell r="R6">
            <v>824</v>
          </cell>
          <cell r="S6">
            <v>2278.3000000000002</v>
          </cell>
          <cell r="T6">
            <v>1032</v>
          </cell>
          <cell r="U6">
            <v>22463</v>
          </cell>
          <cell r="V6">
            <v>41797.300000000003</v>
          </cell>
        </row>
        <row r="7">
          <cell r="B7">
            <v>17</v>
          </cell>
          <cell r="E7">
            <v>8812.4000000000015</v>
          </cell>
          <cell r="F7">
            <v>2747.9</v>
          </cell>
          <cell r="G7">
            <v>2721</v>
          </cell>
          <cell r="H7">
            <v>521</v>
          </cell>
          <cell r="I7">
            <v>302</v>
          </cell>
          <cell r="J7">
            <v>330</v>
          </cell>
          <cell r="K7">
            <v>1044</v>
          </cell>
          <cell r="L7">
            <v>3246</v>
          </cell>
          <cell r="M7">
            <v>2440</v>
          </cell>
          <cell r="N7">
            <v>983.2</v>
          </cell>
          <cell r="O7">
            <v>232.9</v>
          </cell>
          <cell r="P7">
            <v>2087</v>
          </cell>
          <cell r="R7">
            <v>1827.7</v>
          </cell>
          <cell r="S7">
            <v>678</v>
          </cell>
          <cell r="T7">
            <v>400</v>
          </cell>
          <cell r="U7">
            <v>1830.6</v>
          </cell>
          <cell r="V7">
            <v>30203.700000000004</v>
          </cell>
        </row>
        <row r="8">
          <cell r="B8">
            <v>18</v>
          </cell>
          <cell r="E8">
            <v>10583.7</v>
          </cell>
          <cell r="H8">
            <v>1450</v>
          </cell>
          <cell r="J8">
            <v>1189</v>
          </cell>
          <cell r="K8">
            <v>1489.4</v>
          </cell>
          <cell r="L8">
            <v>996</v>
          </cell>
          <cell r="M8">
            <v>200</v>
          </cell>
          <cell r="N8">
            <v>5592</v>
          </cell>
          <cell r="Q8">
            <v>1421</v>
          </cell>
          <cell r="R8">
            <v>100</v>
          </cell>
          <cell r="S8">
            <v>1273</v>
          </cell>
          <cell r="T8">
            <v>141</v>
          </cell>
          <cell r="U8">
            <v>121.2</v>
          </cell>
          <cell r="V8">
            <v>24556.3</v>
          </cell>
        </row>
        <row r="9">
          <cell r="B9">
            <v>19</v>
          </cell>
          <cell r="H9">
            <v>287</v>
          </cell>
          <cell r="K9">
            <v>1106.0999999999999</v>
          </cell>
          <cell r="L9">
            <v>500</v>
          </cell>
          <cell r="M9">
            <v>2081.6999999999998</v>
          </cell>
          <cell r="N9">
            <v>1761</v>
          </cell>
          <cell r="T9">
            <v>1562</v>
          </cell>
          <cell r="U9">
            <v>1179.7</v>
          </cell>
          <cell r="V9">
            <v>8477.5</v>
          </cell>
        </row>
        <row r="10">
          <cell r="B10">
            <v>20</v>
          </cell>
          <cell r="T10">
            <v>500</v>
          </cell>
          <cell r="V10">
            <v>500</v>
          </cell>
        </row>
        <row r="11">
          <cell r="B11">
            <v>21</v>
          </cell>
          <cell r="E11">
            <v>716</v>
          </cell>
          <cell r="K11">
            <v>731</v>
          </cell>
          <cell r="O11">
            <v>241</v>
          </cell>
          <cell r="V11">
            <v>1688</v>
          </cell>
        </row>
        <row r="12">
          <cell r="B12">
            <v>23</v>
          </cell>
          <cell r="D12">
            <v>7590</v>
          </cell>
          <cell r="E12">
            <v>19134.599999999999</v>
          </cell>
          <cell r="F12">
            <v>14435.6</v>
          </cell>
          <cell r="G12">
            <v>9787.7999999999993</v>
          </cell>
          <cell r="H12">
            <v>9254.6</v>
          </cell>
          <cell r="I12">
            <v>2924</v>
          </cell>
          <cell r="J12">
            <v>1500</v>
          </cell>
          <cell r="K12">
            <v>9792.6</v>
          </cell>
          <cell r="L12">
            <v>9771.6</v>
          </cell>
          <cell r="M12">
            <v>9355</v>
          </cell>
          <cell r="N12">
            <v>5568</v>
          </cell>
          <cell r="O12">
            <v>2130</v>
          </cell>
          <cell r="P12">
            <v>240</v>
          </cell>
          <cell r="R12">
            <v>12018</v>
          </cell>
          <cell r="S12">
            <v>5645.2999999999993</v>
          </cell>
          <cell r="T12">
            <v>10166.299999999999</v>
          </cell>
          <cell r="U12">
            <v>2989.4</v>
          </cell>
          <cell r="V12">
            <v>132302.80000000002</v>
          </cell>
        </row>
        <row r="13">
          <cell r="B13">
            <v>24</v>
          </cell>
          <cell r="D13">
            <v>7638</v>
          </cell>
          <cell r="E13">
            <v>15522</v>
          </cell>
          <cell r="G13">
            <v>333</v>
          </cell>
          <cell r="J13">
            <v>3538</v>
          </cell>
          <cell r="L13">
            <v>728</v>
          </cell>
          <cell r="N13">
            <v>545</v>
          </cell>
          <cell r="R13">
            <v>180</v>
          </cell>
          <cell r="S13">
            <v>16910.599999999999</v>
          </cell>
          <cell r="T13">
            <v>738</v>
          </cell>
          <cell r="U13">
            <v>229</v>
          </cell>
          <cell r="V13">
            <v>46361.599999999999</v>
          </cell>
        </row>
        <row r="14">
          <cell r="B14">
            <v>25</v>
          </cell>
          <cell r="D14">
            <v>220</v>
          </cell>
          <cell r="E14">
            <v>9938.7000000000007</v>
          </cell>
          <cell r="F14">
            <v>3250.9</v>
          </cell>
          <cell r="G14">
            <v>408.5</v>
          </cell>
          <cell r="H14">
            <v>4085</v>
          </cell>
          <cell r="J14">
            <v>600</v>
          </cell>
          <cell r="K14">
            <v>9668.2999999999993</v>
          </cell>
          <cell r="L14">
            <v>7000</v>
          </cell>
          <cell r="M14">
            <v>11100</v>
          </cell>
          <cell r="N14">
            <v>19707</v>
          </cell>
          <cell r="O14">
            <v>1557</v>
          </cell>
          <cell r="P14">
            <v>307</v>
          </cell>
          <cell r="Q14">
            <v>200</v>
          </cell>
          <cell r="R14">
            <v>4176.5</v>
          </cell>
          <cell r="S14">
            <v>33007.089999999997</v>
          </cell>
          <cell r="T14">
            <v>3918.3</v>
          </cell>
          <cell r="U14">
            <v>6047.9</v>
          </cell>
          <cell r="V14">
            <v>115192.18999999999</v>
          </cell>
        </row>
        <row r="15">
          <cell r="B15">
            <v>26</v>
          </cell>
          <cell r="E15">
            <v>1019</v>
          </cell>
          <cell r="K15">
            <v>141.6</v>
          </cell>
          <cell r="M15">
            <v>727</v>
          </cell>
          <cell r="N15">
            <v>220.8</v>
          </cell>
          <cell r="P15">
            <v>333.7</v>
          </cell>
          <cell r="Q15">
            <v>322</v>
          </cell>
          <cell r="R15">
            <v>1163.0999999999999</v>
          </cell>
          <cell r="S15">
            <v>1781.1</v>
          </cell>
          <cell r="T15">
            <v>2674.1</v>
          </cell>
          <cell r="V15">
            <v>8382.4</v>
          </cell>
        </row>
        <row r="16">
          <cell r="B16">
            <v>27</v>
          </cell>
          <cell r="E16">
            <v>500</v>
          </cell>
          <cell r="F16">
            <v>920</v>
          </cell>
          <cell r="G16">
            <v>500</v>
          </cell>
          <cell r="L16">
            <v>1451.2</v>
          </cell>
          <cell r="M16">
            <v>1497</v>
          </cell>
          <cell r="P16">
            <v>620</v>
          </cell>
          <cell r="R16">
            <v>1075.5</v>
          </cell>
          <cell r="V16">
            <v>6563.7</v>
          </cell>
        </row>
        <row r="17">
          <cell r="B17">
            <v>28</v>
          </cell>
          <cell r="G17">
            <v>1730</v>
          </cell>
          <cell r="I17">
            <v>351</v>
          </cell>
          <cell r="K17">
            <v>134.80000000000001</v>
          </cell>
          <cell r="N17">
            <v>1113</v>
          </cell>
          <cell r="R17">
            <v>1427</v>
          </cell>
          <cell r="T17">
            <v>683</v>
          </cell>
          <cell r="V17">
            <v>5438.8</v>
          </cell>
        </row>
        <row r="18">
          <cell r="B18">
            <v>29</v>
          </cell>
          <cell r="E18">
            <v>4203.3</v>
          </cell>
          <cell r="F18">
            <v>1079</v>
          </cell>
          <cell r="G18">
            <v>330</v>
          </cell>
          <cell r="H18">
            <v>1168.3</v>
          </cell>
          <cell r="M18">
            <v>61523.399993896484</v>
          </cell>
          <cell r="N18">
            <v>24056.000006103517</v>
          </cell>
          <cell r="O18">
            <v>6890</v>
          </cell>
          <cell r="P18">
            <v>550</v>
          </cell>
          <cell r="Q18">
            <v>6660</v>
          </cell>
          <cell r="R18">
            <v>4428.7000122070313</v>
          </cell>
          <cell r="S18">
            <v>3502</v>
          </cell>
          <cell r="T18">
            <v>2303.1</v>
          </cell>
          <cell r="U18">
            <v>845</v>
          </cell>
          <cell r="V18">
            <v>117538.80001220704</v>
          </cell>
        </row>
        <row r="19">
          <cell r="B19">
            <v>30</v>
          </cell>
          <cell r="E19">
            <v>2446</v>
          </cell>
          <cell r="F19">
            <v>5000</v>
          </cell>
          <cell r="G19">
            <v>400</v>
          </cell>
          <cell r="K19">
            <v>911</v>
          </cell>
          <cell r="N19">
            <v>1675</v>
          </cell>
          <cell r="O19">
            <v>2652</v>
          </cell>
          <cell r="Q19">
            <v>439</v>
          </cell>
          <cell r="U19">
            <v>270.7</v>
          </cell>
          <cell r="V19">
            <v>13793.7</v>
          </cell>
        </row>
        <row r="20">
          <cell r="B20">
            <v>31</v>
          </cell>
          <cell r="E20">
            <v>2661</v>
          </cell>
          <cell r="K20">
            <v>500</v>
          </cell>
          <cell r="L20">
            <v>164</v>
          </cell>
          <cell r="M20">
            <v>1170</v>
          </cell>
          <cell r="N20">
            <v>2071</v>
          </cell>
          <cell r="O20">
            <v>1283</v>
          </cell>
          <cell r="P20">
            <v>4631</v>
          </cell>
          <cell r="Q20">
            <v>333</v>
          </cell>
          <cell r="R20">
            <v>1689</v>
          </cell>
          <cell r="S20">
            <v>4349</v>
          </cell>
          <cell r="T20">
            <v>104.1</v>
          </cell>
          <cell r="U20">
            <v>1991.4</v>
          </cell>
          <cell r="V20">
            <v>20946.5</v>
          </cell>
        </row>
        <row r="21">
          <cell r="B21">
            <v>32</v>
          </cell>
          <cell r="C21">
            <v>466.4</v>
          </cell>
          <cell r="D21">
            <v>2027.3</v>
          </cell>
          <cell r="E21">
            <v>3938</v>
          </cell>
          <cell r="F21">
            <v>2023</v>
          </cell>
          <cell r="H21">
            <v>200</v>
          </cell>
          <cell r="I21">
            <v>330</v>
          </cell>
          <cell r="K21">
            <v>592</v>
          </cell>
          <cell r="M21">
            <v>428</v>
          </cell>
          <cell r="P21">
            <v>3263.2</v>
          </cell>
          <cell r="Q21">
            <v>7407.0999999999995</v>
          </cell>
          <cell r="R21">
            <v>12041</v>
          </cell>
          <cell r="S21">
            <v>51484.2</v>
          </cell>
          <cell r="T21">
            <v>32531.700012207035</v>
          </cell>
          <cell r="U21">
            <v>1721</v>
          </cell>
          <cell r="V21">
            <v>118452.90001220703</v>
          </cell>
        </row>
        <row r="22">
          <cell r="B22">
            <v>33</v>
          </cell>
          <cell r="E22">
            <v>3370</v>
          </cell>
          <cell r="G22">
            <v>2000</v>
          </cell>
          <cell r="I22">
            <v>2203</v>
          </cell>
          <cell r="J22">
            <v>456</v>
          </cell>
          <cell r="K22">
            <v>232</v>
          </cell>
          <cell r="L22">
            <v>132</v>
          </cell>
          <cell r="N22">
            <v>1222</v>
          </cell>
          <cell r="O22">
            <v>1985.1</v>
          </cell>
          <cell r="P22">
            <v>123</v>
          </cell>
          <cell r="Q22">
            <v>223</v>
          </cell>
          <cell r="R22">
            <v>819</v>
          </cell>
          <cell r="S22">
            <v>1</v>
          </cell>
          <cell r="V22">
            <v>12766.1</v>
          </cell>
        </row>
        <row r="23">
          <cell r="B23">
            <v>34</v>
          </cell>
          <cell r="E23">
            <v>2250.1</v>
          </cell>
          <cell r="F23">
            <v>96</v>
          </cell>
          <cell r="G23">
            <v>1256</v>
          </cell>
          <cell r="H23">
            <v>760</v>
          </cell>
          <cell r="I23">
            <v>546</v>
          </cell>
          <cell r="K23">
            <v>5144</v>
          </cell>
          <cell r="M23">
            <v>323</v>
          </cell>
          <cell r="N23">
            <v>270</v>
          </cell>
          <cell r="O23">
            <v>1022</v>
          </cell>
          <cell r="P23">
            <v>646.79999999999995</v>
          </cell>
          <cell r="Q23">
            <v>90574</v>
          </cell>
          <cell r="U23">
            <v>1694</v>
          </cell>
          <cell r="V23">
            <v>104581.9</v>
          </cell>
        </row>
        <row r="24">
          <cell r="B24">
            <v>35</v>
          </cell>
          <cell r="E24">
            <v>6860</v>
          </cell>
          <cell r="F24">
            <v>149</v>
          </cell>
          <cell r="H24">
            <v>719</v>
          </cell>
          <cell r="J24">
            <v>8220</v>
          </cell>
          <cell r="L24">
            <v>44280</v>
          </cell>
          <cell r="M24">
            <v>4444</v>
          </cell>
          <cell r="N24">
            <v>84137.3</v>
          </cell>
          <cell r="O24">
            <v>13827</v>
          </cell>
          <cell r="P24">
            <v>6935</v>
          </cell>
          <cell r="Q24">
            <v>27497</v>
          </cell>
          <cell r="R24">
            <v>1047</v>
          </cell>
          <cell r="S24">
            <v>19410</v>
          </cell>
          <cell r="T24">
            <v>22249.9</v>
          </cell>
          <cell r="U24">
            <v>25600</v>
          </cell>
          <cell r="V24">
            <v>265375.19999999995</v>
          </cell>
        </row>
        <row r="25">
          <cell r="B25">
            <v>36</v>
          </cell>
          <cell r="G25">
            <v>1000</v>
          </cell>
          <cell r="H25">
            <v>250</v>
          </cell>
          <cell r="I25">
            <v>121</v>
          </cell>
          <cell r="J25">
            <v>524</v>
          </cell>
          <cell r="K25">
            <v>274</v>
          </cell>
          <cell r="L25">
            <v>3085</v>
          </cell>
          <cell r="M25">
            <v>642</v>
          </cell>
          <cell r="N25">
            <v>161</v>
          </cell>
          <cell r="O25">
            <v>1415</v>
          </cell>
          <cell r="P25">
            <v>2301</v>
          </cell>
          <cell r="S25">
            <v>3051</v>
          </cell>
          <cell r="T25">
            <v>2347</v>
          </cell>
          <cell r="V25">
            <v>15171</v>
          </cell>
        </row>
        <row r="26">
          <cell r="B26">
            <v>37</v>
          </cell>
          <cell r="E26">
            <v>259</v>
          </cell>
          <cell r="F26">
            <v>3591.8</v>
          </cell>
          <cell r="H26">
            <v>5000</v>
          </cell>
          <cell r="I26">
            <v>1606</v>
          </cell>
          <cell r="K26">
            <v>96470</v>
          </cell>
          <cell r="L26">
            <v>11498</v>
          </cell>
          <cell r="M26">
            <v>10710</v>
          </cell>
          <cell r="N26">
            <v>9662</v>
          </cell>
          <cell r="O26">
            <v>432</v>
          </cell>
          <cell r="P26">
            <v>4631.7</v>
          </cell>
          <cell r="R26">
            <v>9510</v>
          </cell>
          <cell r="S26">
            <v>11536.1</v>
          </cell>
          <cell r="T26">
            <v>54874</v>
          </cell>
          <cell r="U26">
            <v>12830</v>
          </cell>
          <cell r="V26">
            <v>232610.6</v>
          </cell>
        </row>
        <row r="27">
          <cell r="B27">
            <v>39</v>
          </cell>
          <cell r="D27">
            <v>18200</v>
          </cell>
          <cell r="E27">
            <v>39972.6</v>
          </cell>
          <cell r="F27">
            <v>15749</v>
          </cell>
          <cell r="G27">
            <v>22789.9</v>
          </cell>
          <cell r="H27">
            <v>5854</v>
          </cell>
          <cell r="I27">
            <v>4299</v>
          </cell>
          <cell r="J27">
            <v>8740</v>
          </cell>
          <cell r="K27">
            <v>34776.300000000003</v>
          </cell>
          <cell r="L27">
            <v>29548</v>
          </cell>
          <cell r="M27">
            <v>17441.099999999999</v>
          </cell>
          <cell r="N27">
            <v>18748.7</v>
          </cell>
          <cell r="O27">
            <v>27903.89</v>
          </cell>
          <cell r="P27">
            <v>5355</v>
          </cell>
          <cell r="Q27">
            <v>12086</v>
          </cell>
          <cell r="R27">
            <v>19340.900000000001</v>
          </cell>
          <cell r="S27">
            <v>3543</v>
          </cell>
          <cell r="T27">
            <v>30891</v>
          </cell>
          <cell r="U27">
            <v>25975</v>
          </cell>
          <cell r="V27">
            <v>341213.39</v>
          </cell>
        </row>
        <row r="28">
          <cell r="B28">
            <v>40</v>
          </cell>
          <cell r="C28">
            <v>653</v>
          </cell>
          <cell r="D28">
            <v>46713.3</v>
          </cell>
          <cell r="E28">
            <v>98807.199999999983</v>
          </cell>
          <cell r="F28">
            <v>69868.600000000006</v>
          </cell>
          <cell r="G28">
            <v>100620.20000000001</v>
          </cell>
          <cell r="H28">
            <v>71553.100000000006</v>
          </cell>
          <cell r="I28">
            <v>35105</v>
          </cell>
          <cell r="J28">
            <v>39080.400000000001</v>
          </cell>
          <cell r="K28">
            <v>91754.89</v>
          </cell>
          <cell r="L28">
            <v>105989.4</v>
          </cell>
          <cell r="M28">
            <v>58307.49</v>
          </cell>
          <cell r="N28">
            <v>107961.99999999999</v>
          </cell>
          <cell r="O28">
            <v>48386.399999999994</v>
          </cell>
          <cell r="P28">
            <v>24634</v>
          </cell>
          <cell r="Q28">
            <v>11652.3</v>
          </cell>
          <cell r="R28">
            <v>79639.680000000008</v>
          </cell>
          <cell r="S28">
            <v>70636.099999999991</v>
          </cell>
          <cell r="T28">
            <v>145934.78999999998</v>
          </cell>
          <cell r="U28">
            <v>77343.69</v>
          </cell>
          <cell r="V28">
            <v>1284641.5400000003</v>
          </cell>
        </row>
        <row r="29">
          <cell r="B29">
            <v>41</v>
          </cell>
          <cell r="C29">
            <v>1548.8</v>
          </cell>
          <cell r="D29">
            <v>20889.8</v>
          </cell>
          <cell r="E29">
            <v>164084.88</v>
          </cell>
          <cell r="F29">
            <v>79471.5</v>
          </cell>
          <cell r="G29">
            <v>88650.6</v>
          </cell>
          <cell r="H29">
            <v>35745.5</v>
          </cell>
          <cell r="I29">
            <v>21038</v>
          </cell>
          <cell r="J29">
            <v>10987</v>
          </cell>
          <cell r="K29">
            <v>128018.49999999996</v>
          </cell>
          <cell r="L29">
            <v>301723.30000000005</v>
          </cell>
          <cell r="M29">
            <v>114652.30000000002</v>
          </cell>
          <cell r="N29">
            <v>106884.3</v>
          </cell>
          <cell r="O29">
            <v>75763.7</v>
          </cell>
          <cell r="P29">
            <v>36291</v>
          </cell>
          <cell r="Q29">
            <v>29121.3</v>
          </cell>
          <cell r="R29">
            <v>97204.400000000009</v>
          </cell>
          <cell r="S29">
            <v>84377.389999999985</v>
          </cell>
          <cell r="T29">
            <v>158932.80000000002</v>
          </cell>
          <cell r="U29">
            <v>115673.49000000002</v>
          </cell>
          <cell r="V29">
            <v>1671058.5599999998</v>
          </cell>
        </row>
        <row r="30">
          <cell r="B30">
            <v>42</v>
          </cell>
          <cell r="D30">
            <v>48455.3</v>
          </cell>
          <cell r="E30">
            <v>136422.88999999998</v>
          </cell>
          <cell r="F30">
            <v>61181.39</v>
          </cell>
          <cell r="G30">
            <v>44275.999999999993</v>
          </cell>
          <cell r="H30">
            <v>29125.599999999999</v>
          </cell>
          <cell r="I30">
            <v>30936.1</v>
          </cell>
          <cell r="J30">
            <v>14120</v>
          </cell>
          <cell r="K30">
            <v>69045.899999999994</v>
          </cell>
          <cell r="L30">
            <v>71811</v>
          </cell>
          <cell r="M30">
            <v>55558.799999999996</v>
          </cell>
          <cell r="N30">
            <v>108237.99999999999</v>
          </cell>
          <cell r="O30">
            <v>78181.700000000012</v>
          </cell>
          <cell r="P30">
            <v>64973.7</v>
          </cell>
          <cell r="Q30">
            <v>17753.400000000001</v>
          </cell>
          <cell r="R30">
            <v>177441.9</v>
          </cell>
          <cell r="S30">
            <v>61631</v>
          </cell>
          <cell r="T30">
            <v>81080.2</v>
          </cell>
          <cell r="U30">
            <v>64399.9</v>
          </cell>
          <cell r="V30">
            <v>1214632.7799999998</v>
          </cell>
        </row>
        <row r="31">
          <cell r="B31">
            <v>43</v>
          </cell>
          <cell r="C31">
            <v>1086</v>
          </cell>
          <cell r="D31">
            <v>14856.999999999996</v>
          </cell>
          <cell r="E31">
            <v>317743.4800000001</v>
          </cell>
          <cell r="F31">
            <v>148636</v>
          </cell>
          <cell r="G31">
            <v>107479.1</v>
          </cell>
          <cell r="H31">
            <v>38977.1</v>
          </cell>
          <cell r="I31">
            <v>18736</v>
          </cell>
          <cell r="J31">
            <v>11222</v>
          </cell>
          <cell r="K31">
            <v>136303.9</v>
          </cell>
          <cell r="L31">
            <v>211682.5</v>
          </cell>
          <cell r="M31">
            <v>191948.59999999998</v>
          </cell>
          <cell r="N31">
            <v>145737.89999999997</v>
          </cell>
          <cell r="O31">
            <v>234773</v>
          </cell>
          <cell r="P31">
            <v>128091.40000000001</v>
          </cell>
          <cell r="Q31">
            <v>25957</v>
          </cell>
          <cell r="R31">
            <v>168415.88999999998</v>
          </cell>
          <cell r="S31">
            <v>140053.09999999995</v>
          </cell>
          <cell r="T31">
            <v>159124.70000000001</v>
          </cell>
          <cell r="U31">
            <v>156859.9</v>
          </cell>
          <cell r="V31">
            <v>2357684.5699999998</v>
          </cell>
        </row>
        <row r="32">
          <cell r="B32">
            <v>44</v>
          </cell>
          <cell r="C32">
            <v>707.4</v>
          </cell>
          <cell r="D32">
            <v>22030.1</v>
          </cell>
          <cell r="E32">
            <v>94766.09</v>
          </cell>
          <cell r="F32">
            <v>80918.600000000006</v>
          </cell>
          <cell r="G32">
            <v>44304.590000000004</v>
          </cell>
          <cell r="H32">
            <v>13973.5</v>
          </cell>
          <cell r="I32">
            <v>9142.2000000000007</v>
          </cell>
          <cell r="J32">
            <v>7006</v>
          </cell>
          <cell r="K32">
            <v>46367.69</v>
          </cell>
          <cell r="L32">
            <v>28417.3</v>
          </cell>
          <cell r="M32">
            <v>37013.1</v>
          </cell>
          <cell r="N32">
            <v>20674.489999999994</v>
          </cell>
          <cell r="O32">
            <v>23193</v>
          </cell>
          <cell r="P32">
            <v>54538</v>
          </cell>
          <cell r="Q32">
            <v>10223.6</v>
          </cell>
          <cell r="R32">
            <v>91202.6</v>
          </cell>
          <cell r="S32">
            <v>72146.7</v>
          </cell>
          <cell r="T32">
            <v>61229.29</v>
          </cell>
          <cell r="U32">
            <v>51682.200000000004</v>
          </cell>
          <cell r="V32">
            <v>769536.44999999984</v>
          </cell>
        </row>
        <row r="33">
          <cell r="B33">
            <v>45</v>
          </cell>
          <cell r="C33">
            <v>1200</v>
          </cell>
          <cell r="D33">
            <v>37502.5</v>
          </cell>
          <cell r="E33">
            <v>178485.19999999998</v>
          </cell>
          <cell r="F33">
            <v>108275.99999999999</v>
          </cell>
          <cell r="G33">
            <v>58161.100000000006</v>
          </cell>
          <cell r="H33">
            <v>42981.3</v>
          </cell>
          <cell r="I33">
            <v>12493.2</v>
          </cell>
          <cell r="J33">
            <v>10125</v>
          </cell>
          <cell r="K33">
            <v>94623.3</v>
          </cell>
          <cell r="L33">
            <v>91120.499999999985</v>
          </cell>
          <cell r="M33">
            <v>85555.39</v>
          </cell>
          <cell r="N33">
            <v>68728.3</v>
          </cell>
          <cell r="O33">
            <v>73057.8</v>
          </cell>
          <cell r="P33">
            <v>47518.1</v>
          </cell>
          <cell r="Q33">
            <v>22803.3</v>
          </cell>
          <cell r="R33">
            <v>98893.8</v>
          </cell>
          <cell r="S33">
            <v>74765.700000000026</v>
          </cell>
          <cell r="T33">
            <v>59393.899999999994</v>
          </cell>
          <cell r="U33">
            <v>71225.899999999994</v>
          </cell>
          <cell r="V33">
            <v>1236910.29</v>
          </cell>
        </row>
        <row r="34">
          <cell r="B34">
            <v>46</v>
          </cell>
          <cell r="C34">
            <v>3396</v>
          </cell>
          <cell r="D34">
            <v>15620</v>
          </cell>
          <cell r="E34">
            <v>50471.090000000011</v>
          </cell>
          <cell r="F34">
            <v>61137.490000000005</v>
          </cell>
          <cell r="G34">
            <v>32756.39</v>
          </cell>
          <cell r="H34">
            <v>27354.400000000001</v>
          </cell>
          <cell r="I34">
            <v>26021.9</v>
          </cell>
          <cell r="J34">
            <v>29653.7</v>
          </cell>
          <cell r="K34">
            <v>157617.28999999998</v>
          </cell>
          <cell r="L34">
            <v>93535.200000000012</v>
          </cell>
          <cell r="M34">
            <v>76430</v>
          </cell>
          <cell r="N34">
            <v>91752.189999999973</v>
          </cell>
          <cell r="O34">
            <v>68239.5</v>
          </cell>
          <cell r="P34">
            <v>42212.1</v>
          </cell>
          <cell r="Q34">
            <v>14674</v>
          </cell>
          <cell r="R34">
            <v>84588.990000000034</v>
          </cell>
          <cell r="S34">
            <v>97758.1</v>
          </cell>
          <cell r="T34">
            <v>62959.089999999989</v>
          </cell>
          <cell r="U34">
            <v>110889.37000000001</v>
          </cell>
          <cell r="V34">
            <v>1147066.7999999998</v>
          </cell>
        </row>
        <row r="35">
          <cell r="B35">
            <v>47</v>
          </cell>
          <cell r="C35">
            <v>6992.9</v>
          </cell>
          <cell r="D35">
            <v>17894.399999999998</v>
          </cell>
          <cell r="E35">
            <v>155849.29999999996</v>
          </cell>
          <cell r="F35">
            <v>93359.28</v>
          </cell>
          <cell r="G35">
            <v>105540.90000000002</v>
          </cell>
          <cell r="H35">
            <v>58458.200000000004</v>
          </cell>
          <cell r="I35">
            <v>29492.5</v>
          </cell>
          <cell r="J35">
            <v>25384.1</v>
          </cell>
          <cell r="K35">
            <v>145384.5</v>
          </cell>
          <cell r="L35">
            <v>81285</v>
          </cell>
          <cell r="M35">
            <v>66244.200000000012</v>
          </cell>
          <cell r="N35">
            <v>132374.40000000002</v>
          </cell>
          <cell r="O35">
            <v>105559.79000000001</v>
          </cell>
          <cell r="P35">
            <v>91270.2</v>
          </cell>
          <cell r="Q35">
            <v>25200.000000000004</v>
          </cell>
          <cell r="R35">
            <v>217248.20000000004</v>
          </cell>
          <cell r="S35">
            <v>152955.59999999998</v>
          </cell>
          <cell r="T35">
            <v>88428.499999999985</v>
          </cell>
          <cell r="U35">
            <v>122286.9</v>
          </cell>
          <cell r="V35">
            <v>1721208.87</v>
          </cell>
        </row>
        <row r="36">
          <cell r="B36">
            <v>48</v>
          </cell>
          <cell r="D36">
            <v>22038.9</v>
          </cell>
          <cell r="E36">
            <v>110355.48999999999</v>
          </cell>
          <cell r="F36">
            <v>54243.979999999996</v>
          </cell>
          <cell r="G36">
            <v>53175.98</v>
          </cell>
          <cell r="H36">
            <v>54577.2</v>
          </cell>
          <cell r="I36">
            <v>20870.099999999999</v>
          </cell>
          <cell r="J36">
            <v>9106</v>
          </cell>
          <cell r="K36">
            <v>37403.89</v>
          </cell>
          <cell r="L36">
            <v>72047.099999999977</v>
          </cell>
          <cell r="M36">
            <v>69234.899999999994</v>
          </cell>
          <cell r="N36">
            <v>63550.1</v>
          </cell>
          <cell r="O36">
            <v>93291.299999999988</v>
          </cell>
          <cell r="P36">
            <v>67938</v>
          </cell>
          <cell r="Q36">
            <v>25775.5</v>
          </cell>
          <cell r="R36">
            <v>287196.59000000008</v>
          </cell>
          <cell r="S36">
            <v>90742.09</v>
          </cell>
          <cell r="T36">
            <v>126326.28</v>
          </cell>
          <cell r="U36">
            <v>102115.19</v>
          </cell>
          <cell r="V36">
            <v>1359988.59</v>
          </cell>
        </row>
        <row r="37">
          <cell r="B37">
            <v>49</v>
          </cell>
          <cell r="C37">
            <v>500</v>
          </cell>
          <cell r="D37">
            <v>39050</v>
          </cell>
          <cell r="E37">
            <v>64879.200000000004</v>
          </cell>
          <cell r="F37">
            <v>48903</v>
          </cell>
          <cell r="G37">
            <v>54707.4</v>
          </cell>
          <cell r="H37">
            <v>40386.799999999996</v>
          </cell>
          <cell r="I37">
            <v>12030.9</v>
          </cell>
          <cell r="J37">
            <v>12398.7</v>
          </cell>
          <cell r="K37">
            <v>181696.09999999998</v>
          </cell>
          <cell r="L37">
            <v>61204.899999999994</v>
          </cell>
          <cell r="M37">
            <v>32180</v>
          </cell>
          <cell r="N37">
            <v>69911.89</v>
          </cell>
          <cell r="O37">
            <v>99561.8</v>
          </cell>
          <cell r="P37">
            <v>64119.5</v>
          </cell>
          <cell r="Q37">
            <v>14220.5</v>
          </cell>
          <cell r="R37">
            <v>152418.79000000004</v>
          </cell>
          <cell r="S37">
            <v>66487.8</v>
          </cell>
          <cell r="T37">
            <v>52008.5</v>
          </cell>
          <cell r="U37">
            <v>29248.799999999999</v>
          </cell>
          <cell r="V37">
            <v>1095914.5800000003</v>
          </cell>
        </row>
        <row r="38">
          <cell r="B38">
            <v>50</v>
          </cell>
          <cell r="D38">
            <v>15520</v>
          </cell>
          <cell r="E38">
            <v>120332.19</v>
          </cell>
          <cell r="F38">
            <v>49537.600000000006</v>
          </cell>
          <cell r="G38">
            <v>32947.599999999999</v>
          </cell>
          <cell r="H38">
            <v>21221.9</v>
          </cell>
          <cell r="I38">
            <v>3105</v>
          </cell>
          <cell r="J38">
            <v>6122</v>
          </cell>
          <cell r="K38">
            <v>46286.6</v>
          </cell>
          <cell r="L38">
            <v>73280.399999999994</v>
          </cell>
          <cell r="M38">
            <v>43245.9</v>
          </cell>
          <cell r="N38">
            <v>34979.200000000004</v>
          </cell>
          <cell r="O38">
            <v>31854.6</v>
          </cell>
          <cell r="P38">
            <v>32932.9</v>
          </cell>
          <cell r="Q38">
            <v>11361.1</v>
          </cell>
          <cell r="R38">
            <v>66585.995999999999</v>
          </cell>
          <cell r="S38">
            <v>45691.4</v>
          </cell>
          <cell r="T38">
            <v>56251.8</v>
          </cell>
          <cell r="U38">
            <v>50179.3</v>
          </cell>
          <cell r="V38">
            <v>741435.48600000015</v>
          </cell>
        </row>
        <row r="39">
          <cell r="B39">
            <v>51</v>
          </cell>
          <cell r="C39">
            <v>1297</v>
          </cell>
          <cell r="D39">
            <v>25616.2</v>
          </cell>
          <cell r="E39">
            <v>47192.78</v>
          </cell>
          <cell r="F39">
            <v>22358</v>
          </cell>
          <cell r="G39">
            <v>18772.2</v>
          </cell>
          <cell r="H39">
            <v>11531.5</v>
          </cell>
          <cell r="I39">
            <v>2587</v>
          </cell>
          <cell r="J39">
            <v>2873</v>
          </cell>
          <cell r="K39">
            <v>18985.2</v>
          </cell>
          <cell r="L39">
            <v>22015.8</v>
          </cell>
          <cell r="M39">
            <v>24127.3</v>
          </cell>
          <cell r="N39">
            <v>19007.7</v>
          </cell>
          <cell r="O39">
            <v>21901.200000000001</v>
          </cell>
          <cell r="P39">
            <v>19429.2</v>
          </cell>
          <cell r="Q39">
            <v>6162.7</v>
          </cell>
          <cell r="R39">
            <v>28044</v>
          </cell>
          <cell r="S39">
            <v>29027.4</v>
          </cell>
          <cell r="T39">
            <v>34774</v>
          </cell>
          <cell r="U39">
            <v>30551.599999999999</v>
          </cell>
          <cell r="V39">
            <v>386253.78</v>
          </cell>
        </row>
        <row r="40">
          <cell r="B40">
            <v>52</v>
          </cell>
          <cell r="D40">
            <v>34635</v>
          </cell>
          <cell r="E40">
            <v>137008</v>
          </cell>
          <cell r="F40">
            <v>51267</v>
          </cell>
          <cell r="G40">
            <v>77003.3</v>
          </cell>
          <cell r="H40">
            <v>23239</v>
          </cell>
          <cell r="I40">
            <v>8958</v>
          </cell>
          <cell r="J40">
            <v>10559</v>
          </cell>
          <cell r="K40">
            <v>59082.59</v>
          </cell>
          <cell r="L40">
            <v>34686</v>
          </cell>
          <cell r="M40">
            <v>75208.799999999988</v>
          </cell>
          <cell r="N40">
            <v>77302.8</v>
          </cell>
          <cell r="O40">
            <v>43420.800000000003</v>
          </cell>
          <cell r="P40">
            <v>47796.6</v>
          </cell>
          <cell r="Q40">
            <v>11156</v>
          </cell>
          <cell r="R40">
            <v>63991.58</v>
          </cell>
          <cell r="S40">
            <v>37697.1</v>
          </cell>
          <cell r="T40">
            <v>60588.4</v>
          </cell>
          <cell r="U40">
            <v>38052</v>
          </cell>
          <cell r="V40">
            <v>891651.97</v>
          </cell>
        </row>
        <row r="41">
          <cell r="B41">
            <v>53</v>
          </cell>
          <cell r="C41">
            <v>434.7</v>
          </cell>
          <cell r="D41">
            <v>17324</v>
          </cell>
          <cell r="E41">
            <v>74209.37999999999</v>
          </cell>
          <cell r="F41">
            <v>30251</v>
          </cell>
          <cell r="G41">
            <v>26590.799999999999</v>
          </cell>
          <cell r="H41">
            <v>22899.9</v>
          </cell>
          <cell r="I41">
            <v>3150</v>
          </cell>
          <cell r="J41">
            <v>2000.8</v>
          </cell>
          <cell r="K41">
            <v>46707.280000000006</v>
          </cell>
          <cell r="L41">
            <v>78919</v>
          </cell>
          <cell r="M41">
            <v>75139.600000000006</v>
          </cell>
          <cell r="N41">
            <v>44460.89</v>
          </cell>
          <cell r="O41">
            <v>34919.199999999997</v>
          </cell>
          <cell r="P41">
            <v>28739.1</v>
          </cell>
          <cell r="Q41">
            <v>7124.7</v>
          </cell>
          <cell r="R41">
            <v>149446.30000000008</v>
          </cell>
          <cell r="S41">
            <v>48082.99</v>
          </cell>
          <cell r="T41">
            <v>30602.780000000002</v>
          </cell>
          <cell r="U41">
            <v>24373.200000000001</v>
          </cell>
          <cell r="V41">
            <v>745375.62</v>
          </cell>
        </row>
        <row r="42">
          <cell r="B42">
            <v>55</v>
          </cell>
          <cell r="C42">
            <v>13619.5</v>
          </cell>
          <cell r="D42">
            <v>15904.7</v>
          </cell>
          <cell r="E42">
            <v>264257.7</v>
          </cell>
          <cell r="F42">
            <v>244898.90000000002</v>
          </cell>
          <cell r="G42">
            <v>54350.299999999996</v>
          </cell>
          <cell r="H42">
            <v>77655.899999999994</v>
          </cell>
          <cell r="I42">
            <v>67765.8</v>
          </cell>
          <cell r="J42">
            <v>8895</v>
          </cell>
          <cell r="K42">
            <v>171022.08000000002</v>
          </cell>
          <cell r="L42">
            <v>145516.30000000002</v>
          </cell>
          <cell r="M42">
            <v>137225.20000000001</v>
          </cell>
          <cell r="N42">
            <v>520400.3</v>
          </cell>
          <cell r="O42">
            <v>173777.9</v>
          </cell>
          <cell r="P42">
            <v>124143.7</v>
          </cell>
          <cell r="Q42">
            <v>50254</v>
          </cell>
          <cell r="R42">
            <v>228432.00000000003</v>
          </cell>
          <cell r="S42">
            <v>171344.4</v>
          </cell>
          <cell r="T42">
            <v>238548.9</v>
          </cell>
          <cell r="U42">
            <v>205446.9</v>
          </cell>
          <cell r="V42">
            <v>2913459.48</v>
          </cell>
        </row>
        <row r="43">
          <cell r="B43">
            <v>60</v>
          </cell>
          <cell r="C43">
            <v>360</v>
          </cell>
          <cell r="D43">
            <v>52273.7</v>
          </cell>
          <cell r="E43">
            <v>83624.399999999994</v>
          </cell>
          <cell r="F43">
            <v>99757.93</v>
          </cell>
          <cell r="G43">
            <v>65818.2</v>
          </cell>
          <cell r="H43">
            <v>57589</v>
          </cell>
          <cell r="I43">
            <v>19597</v>
          </cell>
          <cell r="J43">
            <v>13924.800000000001</v>
          </cell>
          <cell r="K43">
            <v>69921.239999999991</v>
          </cell>
          <cell r="L43">
            <v>150081.38</v>
          </cell>
          <cell r="M43">
            <v>80942.5</v>
          </cell>
          <cell r="N43">
            <v>257316.79</v>
          </cell>
          <cell r="O43">
            <v>67185.699999999983</v>
          </cell>
          <cell r="P43">
            <v>76713</v>
          </cell>
          <cell r="Q43">
            <v>59301.899999999994</v>
          </cell>
          <cell r="R43">
            <v>211674.69</v>
          </cell>
          <cell r="S43">
            <v>266002.90000000002</v>
          </cell>
          <cell r="T43">
            <v>175256.3</v>
          </cell>
          <cell r="U43">
            <v>428788.80000000005</v>
          </cell>
          <cell r="V43">
            <v>2236130.23</v>
          </cell>
        </row>
        <row r="44">
          <cell r="B44">
            <v>61</v>
          </cell>
          <cell r="D44">
            <v>16010</v>
          </cell>
          <cell r="E44">
            <v>28489</v>
          </cell>
          <cell r="F44">
            <v>24624.2</v>
          </cell>
          <cell r="G44">
            <v>19146.300000000003</v>
          </cell>
          <cell r="H44">
            <v>7835</v>
          </cell>
          <cell r="I44">
            <v>3120</v>
          </cell>
          <cell r="J44">
            <v>960</v>
          </cell>
          <cell r="K44">
            <v>13899</v>
          </cell>
          <cell r="L44">
            <v>16642.099999999999</v>
          </cell>
          <cell r="M44">
            <v>11389.1</v>
          </cell>
          <cell r="N44">
            <v>4930</v>
          </cell>
          <cell r="O44">
            <v>2577.1</v>
          </cell>
          <cell r="P44">
            <v>2241.8000000000002</v>
          </cell>
          <cell r="Q44">
            <v>5519</v>
          </cell>
          <cell r="R44">
            <v>17615.099999999999</v>
          </cell>
          <cell r="S44">
            <v>28564.100000000002</v>
          </cell>
          <cell r="T44">
            <v>12735.59</v>
          </cell>
          <cell r="U44">
            <v>12917.699999999999</v>
          </cell>
          <cell r="V44">
            <v>229215.09000000003</v>
          </cell>
        </row>
        <row r="45">
          <cell r="B45">
            <v>62</v>
          </cell>
          <cell r="E45">
            <v>6341.3</v>
          </cell>
          <cell r="F45">
            <v>21936.799999999999</v>
          </cell>
          <cell r="G45">
            <v>13650</v>
          </cell>
          <cell r="H45">
            <v>687</v>
          </cell>
          <cell r="I45">
            <v>25940</v>
          </cell>
          <cell r="J45">
            <v>234</v>
          </cell>
          <cell r="K45">
            <v>700</v>
          </cell>
          <cell r="L45">
            <v>1264</v>
          </cell>
          <cell r="M45">
            <v>211</v>
          </cell>
          <cell r="N45">
            <v>32755.1</v>
          </cell>
          <cell r="O45">
            <v>250</v>
          </cell>
          <cell r="R45">
            <v>2924.5</v>
          </cell>
          <cell r="S45">
            <v>375</v>
          </cell>
          <cell r="T45">
            <v>25484.9</v>
          </cell>
          <cell r="U45">
            <v>300</v>
          </cell>
          <cell r="V45">
            <v>133053.6</v>
          </cell>
        </row>
        <row r="46">
          <cell r="B46">
            <v>64</v>
          </cell>
          <cell r="C46">
            <v>400</v>
          </cell>
          <cell r="D46">
            <v>26790</v>
          </cell>
          <cell r="E46">
            <v>112510.8</v>
          </cell>
          <cell r="F46">
            <v>33161</v>
          </cell>
          <cell r="G46">
            <v>23310.9</v>
          </cell>
          <cell r="H46">
            <v>11477</v>
          </cell>
          <cell r="I46">
            <v>7166.3</v>
          </cell>
          <cell r="J46">
            <v>7964.2</v>
          </cell>
          <cell r="K46">
            <v>52679.100000000006</v>
          </cell>
          <cell r="L46">
            <v>29915.800000000003</v>
          </cell>
          <cell r="M46">
            <v>26304.1</v>
          </cell>
          <cell r="N46">
            <v>15255.699999999999</v>
          </cell>
          <cell r="O46">
            <v>15272</v>
          </cell>
          <cell r="P46">
            <v>6255</v>
          </cell>
          <cell r="Q46">
            <v>3293</v>
          </cell>
          <cell r="R46">
            <v>34579.89</v>
          </cell>
          <cell r="S46">
            <v>28568.199999999997</v>
          </cell>
          <cell r="T46">
            <v>50524.100000000006</v>
          </cell>
          <cell r="U46">
            <v>23709.8</v>
          </cell>
          <cell r="V46">
            <v>509136.88999999996</v>
          </cell>
        </row>
        <row r="47">
          <cell r="B47">
            <v>65</v>
          </cell>
          <cell r="D47">
            <v>11470</v>
          </cell>
          <cell r="E47">
            <v>29230.2</v>
          </cell>
          <cell r="F47">
            <v>10542</v>
          </cell>
          <cell r="G47">
            <v>17900.8</v>
          </cell>
          <cell r="H47">
            <v>11346.18</v>
          </cell>
          <cell r="I47">
            <v>3794</v>
          </cell>
          <cell r="J47">
            <v>2476</v>
          </cell>
          <cell r="K47">
            <v>32772.459999999992</v>
          </cell>
          <cell r="L47">
            <v>42048.19999999999</v>
          </cell>
          <cell r="M47">
            <v>50208.899999999987</v>
          </cell>
          <cell r="N47">
            <v>63231.689999999988</v>
          </cell>
          <cell r="O47">
            <v>51909.599999999999</v>
          </cell>
          <cell r="P47">
            <v>23168.3</v>
          </cell>
          <cell r="Q47">
            <v>8667</v>
          </cell>
          <cell r="R47">
            <v>104969.65000000001</v>
          </cell>
          <cell r="S47">
            <v>89561.600000000006</v>
          </cell>
          <cell r="T47">
            <v>75316.599999999991</v>
          </cell>
          <cell r="U47">
            <v>38815.9</v>
          </cell>
          <cell r="V47">
            <v>667429.07999999996</v>
          </cell>
        </row>
        <row r="48">
          <cell r="B48">
            <v>66</v>
          </cell>
          <cell r="D48">
            <v>24210.7</v>
          </cell>
          <cell r="E48">
            <v>37313.9</v>
          </cell>
          <cell r="F48">
            <v>18874.300000000003</v>
          </cell>
          <cell r="G48">
            <v>17003.600000000002</v>
          </cell>
          <cell r="H48">
            <v>6240</v>
          </cell>
          <cell r="I48">
            <v>3389</v>
          </cell>
          <cell r="J48">
            <v>3869</v>
          </cell>
          <cell r="K48">
            <v>31484.799999999999</v>
          </cell>
          <cell r="L48">
            <v>25942</v>
          </cell>
          <cell r="M48">
            <v>27918.9</v>
          </cell>
          <cell r="N48">
            <v>41127.299999999996</v>
          </cell>
          <cell r="O48">
            <v>35649.100000000006</v>
          </cell>
          <cell r="P48">
            <v>63839</v>
          </cell>
          <cell r="Q48">
            <v>6033</v>
          </cell>
          <cell r="R48">
            <v>104754.4</v>
          </cell>
          <cell r="S48">
            <v>39966</v>
          </cell>
          <cell r="T48">
            <v>45067.9</v>
          </cell>
          <cell r="U48">
            <v>29587.800000000003</v>
          </cell>
          <cell r="V48">
            <v>562270.70000000007</v>
          </cell>
        </row>
        <row r="49">
          <cell r="B49">
            <v>67</v>
          </cell>
          <cell r="D49">
            <v>24140</v>
          </cell>
          <cell r="E49">
            <v>47174.499999999993</v>
          </cell>
          <cell r="F49">
            <v>35605.699999999997</v>
          </cell>
          <cell r="G49">
            <v>24190.799999999999</v>
          </cell>
          <cell r="H49">
            <v>17960.2</v>
          </cell>
          <cell r="I49">
            <v>2170</v>
          </cell>
          <cell r="J49">
            <v>1377</v>
          </cell>
          <cell r="K49">
            <v>16512.599999999999</v>
          </cell>
          <cell r="L49">
            <v>11049.8</v>
          </cell>
          <cell r="M49">
            <v>9559.2000000000007</v>
          </cell>
          <cell r="N49">
            <v>14748.5</v>
          </cell>
          <cell r="O49">
            <v>6668</v>
          </cell>
          <cell r="P49">
            <v>554</v>
          </cell>
          <cell r="Q49">
            <v>1864</v>
          </cell>
          <cell r="R49">
            <v>15310.5</v>
          </cell>
          <cell r="S49">
            <v>24108</v>
          </cell>
          <cell r="T49">
            <v>30711.5</v>
          </cell>
          <cell r="U49">
            <v>51706.2</v>
          </cell>
          <cell r="V49">
            <v>335410.50000000006</v>
          </cell>
        </row>
        <row r="50">
          <cell r="B50">
            <v>68</v>
          </cell>
          <cell r="C50">
            <v>248</v>
          </cell>
          <cell r="D50">
            <v>26680</v>
          </cell>
          <cell r="E50">
            <v>44553.600000000006</v>
          </cell>
          <cell r="F50">
            <v>19578.2</v>
          </cell>
          <cell r="G50">
            <v>23727.3</v>
          </cell>
          <cell r="H50">
            <v>12308</v>
          </cell>
          <cell r="I50">
            <v>975</v>
          </cell>
          <cell r="J50">
            <v>1959</v>
          </cell>
          <cell r="K50">
            <v>25649.599999999999</v>
          </cell>
          <cell r="L50">
            <v>21056.1</v>
          </cell>
          <cell r="M50">
            <v>46889.9</v>
          </cell>
          <cell r="N50">
            <v>48359</v>
          </cell>
          <cell r="O50">
            <v>36999.300000000003</v>
          </cell>
          <cell r="P50">
            <v>24763</v>
          </cell>
          <cell r="Q50">
            <v>6460</v>
          </cell>
          <cell r="R50">
            <v>84403.3</v>
          </cell>
          <cell r="S50">
            <v>56659.3</v>
          </cell>
          <cell r="T50">
            <v>55118.2</v>
          </cell>
          <cell r="U50">
            <v>35186.090000000004</v>
          </cell>
          <cell r="V50">
            <v>571572.8899999999</v>
          </cell>
        </row>
        <row r="51">
          <cell r="B51">
            <v>69</v>
          </cell>
          <cell r="D51">
            <v>150</v>
          </cell>
          <cell r="E51">
            <v>6893</v>
          </cell>
          <cell r="F51">
            <v>3348.39</v>
          </cell>
          <cell r="G51">
            <v>779</v>
          </cell>
          <cell r="H51">
            <v>3729</v>
          </cell>
          <cell r="I51">
            <v>210</v>
          </cell>
          <cell r="K51">
            <v>23582.400000000001</v>
          </cell>
          <cell r="L51">
            <v>23583.399999999998</v>
          </cell>
          <cell r="M51">
            <v>3259</v>
          </cell>
          <cell r="N51">
            <v>19059</v>
          </cell>
          <cell r="O51">
            <v>2261.6999999999998</v>
          </cell>
          <cell r="P51">
            <v>1747</v>
          </cell>
          <cell r="Q51">
            <v>1818</v>
          </cell>
          <cell r="R51">
            <v>21817</v>
          </cell>
          <cell r="S51">
            <v>4665.7</v>
          </cell>
          <cell r="T51">
            <v>3714.6</v>
          </cell>
          <cell r="U51">
            <v>4937.8</v>
          </cell>
          <cell r="V51">
            <v>125554.99</v>
          </cell>
        </row>
        <row r="52">
          <cell r="B52">
            <v>70</v>
          </cell>
          <cell r="C52">
            <v>293</v>
          </cell>
          <cell r="D52">
            <v>59820</v>
          </cell>
          <cell r="E52">
            <v>63692.719999999994</v>
          </cell>
          <cell r="F52">
            <v>24506.7</v>
          </cell>
          <cell r="G52">
            <v>59724.6</v>
          </cell>
          <cell r="H52">
            <v>17459.59</v>
          </cell>
          <cell r="I52">
            <v>4150</v>
          </cell>
          <cell r="J52">
            <v>1890</v>
          </cell>
          <cell r="K52">
            <v>31712.989999999998</v>
          </cell>
          <cell r="L52">
            <v>26050.1</v>
          </cell>
          <cell r="M52">
            <v>10484</v>
          </cell>
          <cell r="N52">
            <v>22952.989999999998</v>
          </cell>
          <cell r="O52">
            <v>8488</v>
          </cell>
          <cell r="P52">
            <v>3105</v>
          </cell>
          <cell r="Q52">
            <v>3596</v>
          </cell>
          <cell r="R52">
            <v>22887.39</v>
          </cell>
          <cell r="S52">
            <v>37114</v>
          </cell>
          <cell r="T52">
            <v>26733.299999999996</v>
          </cell>
          <cell r="U52">
            <v>5115.5</v>
          </cell>
          <cell r="V52">
            <v>429775.88</v>
          </cell>
        </row>
        <row r="53">
          <cell r="B53">
            <v>71</v>
          </cell>
          <cell r="C53">
            <v>400</v>
          </cell>
          <cell r="D53">
            <v>39540</v>
          </cell>
          <cell r="E53">
            <v>49429.889999999992</v>
          </cell>
          <cell r="F53">
            <v>148792.59000000003</v>
          </cell>
          <cell r="G53">
            <v>34567</v>
          </cell>
          <cell r="H53">
            <v>53354</v>
          </cell>
          <cell r="I53">
            <v>6909</v>
          </cell>
          <cell r="J53">
            <v>3045</v>
          </cell>
          <cell r="K53">
            <v>55795.590000000004</v>
          </cell>
          <cell r="L53">
            <v>37013.9</v>
          </cell>
          <cell r="M53">
            <v>78720.100000000006</v>
          </cell>
          <cell r="N53">
            <v>61136.59</v>
          </cell>
          <cell r="O53">
            <v>56725.5</v>
          </cell>
          <cell r="P53">
            <v>15689</v>
          </cell>
          <cell r="Q53">
            <v>36029</v>
          </cell>
          <cell r="R53">
            <v>54911.99</v>
          </cell>
          <cell r="S53">
            <v>59354.400000000001</v>
          </cell>
          <cell r="T53">
            <v>77738.7</v>
          </cell>
          <cell r="U53">
            <v>103775.96999999999</v>
          </cell>
          <cell r="V53">
            <v>972928.22</v>
          </cell>
        </row>
        <row r="54">
          <cell r="B54">
            <v>72</v>
          </cell>
          <cell r="D54">
            <v>32500</v>
          </cell>
          <cell r="E54">
            <v>18432.090000000004</v>
          </cell>
          <cell r="F54">
            <v>10308.4</v>
          </cell>
          <cell r="G54">
            <v>17613.2</v>
          </cell>
          <cell r="H54">
            <v>21853</v>
          </cell>
          <cell r="I54">
            <v>5885</v>
          </cell>
          <cell r="J54">
            <v>3186.6</v>
          </cell>
          <cell r="K54">
            <v>24616.9</v>
          </cell>
          <cell r="L54">
            <v>21411</v>
          </cell>
          <cell r="M54">
            <v>21656.600000000002</v>
          </cell>
          <cell r="N54">
            <v>24729.4</v>
          </cell>
          <cell r="O54">
            <v>36696</v>
          </cell>
          <cell r="P54">
            <v>46802</v>
          </cell>
          <cell r="Q54">
            <v>14901</v>
          </cell>
          <cell r="R54">
            <v>52863.4</v>
          </cell>
          <cell r="S54">
            <v>27256.7</v>
          </cell>
          <cell r="T54">
            <v>41664.400000000001</v>
          </cell>
          <cell r="U54">
            <v>38642</v>
          </cell>
          <cell r="V54">
            <v>461017.69000000006</v>
          </cell>
        </row>
        <row r="55">
          <cell r="B55">
            <v>73</v>
          </cell>
          <cell r="C55">
            <v>645.1</v>
          </cell>
          <cell r="D55">
            <v>17020</v>
          </cell>
          <cell r="E55">
            <v>32572.400000000001</v>
          </cell>
          <cell r="F55">
            <v>8342</v>
          </cell>
          <cell r="G55">
            <v>12500</v>
          </cell>
          <cell r="H55">
            <v>9551.7999999999993</v>
          </cell>
          <cell r="I55">
            <v>240</v>
          </cell>
          <cell r="J55">
            <v>990</v>
          </cell>
          <cell r="K55">
            <v>17093.2</v>
          </cell>
          <cell r="L55">
            <v>24080</v>
          </cell>
          <cell r="M55">
            <v>24759</v>
          </cell>
          <cell r="N55">
            <v>28545</v>
          </cell>
          <cell r="O55">
            <v>12300</v>
          </cell>
          <cell r="P55">
            <v>9636</v>
          </cell>
          <cell r="Q55">
            <v>7311.7</v>
          </cell>
          <cell r="R55">
            <v>46840.3</v>
          </cell>
          <cell r="S55">
            <v>29213</v>
          </cell>
          <cell r="T55">
            <v>44940</v>
          </cell>
          <cell r="U55">
            <v>3612.7</v>
          </cell>
          <cell r="V55">
            <v>330192.2</v>
          </cell>
        </row>
        <row r="56">
          <cell r="B56">
            <v>74</v>
          </cell>
          <cell r="D56">
            <v>9000</v>
          </cell>
          <cell r="E56">
            <v>16913.59</v>
          </cell>
          <cell r="F56">
            <v>13550</v>
          </cell>
          <cell r="G56">
            <v>6000</v>
          </cell>
          <cell r="H56">
            <v>709</v>
          </cell>
          <cell r="I56">
            <v>1768</v>
          </cell>
          <cell r="J56">
            <v>899.6</v>
          </cell>
          <cell r="K56">
            <v>11506</v>
          </cell>
          <cell r="L56">
            <v>3823</v>
          </cell>
          <cell r="M56">
            <v>45642</v>
          </cell>
          <cell r="N56">
            <v>2242</v>
          </cell>
          <cell r="O56">
            <v>11264</v>
          </cell>
          <cell r="P56">
            <v>543</v>
          </cell>
          <cell r="Q56">
            <v>5422</v>
          </cell>
          <cell r="R56">
            <v>16991</v>
          </cell>
          <cell r="S56">
            <v>6099</v>
          </cell>
          <cell r="T56">
            <v>27880.799999999999</v>
          </cell>
          <cell r="U56">
            <v>8867</v>
          </cell>
          <cell r="V56">
            <v>189119.99</v>
          </cell>
        </row>
        <row r="57">
          <cell r="B57">
            <v>75</v>
          </cell>
          <cell r="D57">
            <v>24676.5</v>
          </cell>
          <cell r="E57">
            <v>47881.790000000008</v>
          </cell>
          <cell r="F57">
            <v>54235.19</v>
          </cell>
          <cell r="G57">
            <v>44616</v>
          </cell>
          <cell r="H57">
            <v>38804.800000000003</v>
          </cell>
          <cell r="I57">
            <v>7065.8</v>
          </cell>
          <cell r="J57">
            <v>4554</v>
          </cell>
          <cell r="K57">
            <v>72972.28</v>
          </cell>
          <cell r="L57">
            <v>52145.890000000007</v>
          </cell>
          <cell r="M57">
            <v>69159.8</v>
          </cell>
          <cell r="N57">
            <v>48986.000000000007</v>
          </cell>
          <cell r="O57">
            <v>27413.100000000002</v>
          </cell>
          <cell r="P57">
            <v>12855.1</v>
          </cell>
          <cell r="Q57">
            <v>2457.4</v>
          </cell>
          <cell r="R57">
            <v>75818.810000000012</v>
          </cell>
          <cell r="S57">
            <v>80925.5</v>
          </cell>
          <cell r="T57">
            <v>63961.2</v>
          </cell>
          <cell r="U57">
            <v>20606.39</v>
          </cell>
          <cell r="V57">
            <v>749135.54999999993</v>
          </cell>
        </row>
        <row r="58">
          <cell r="B58">
            <v>76</v>
          </cell>
          <cell r="E58">
            <v>220</v>
          </cell>
          <cell r="F58">
            <v>300</v>
          </cell>
          <cell r="G58">
            <v>200</v>
          </cell>
          <cell r="I58">
            <v>1000</v>
          </cell>
          <cell r="N58">
            <v>202.2</v>
          </cell>
          <cell r="P58">
            <v>240</v>
          </cell>
          <cell r="R58">
            <v>416.5</v>
          </cell>
          <cell r="S58">
            <v>1300</v>
          </cell>
          <cell r="T58">
            <v>1187.8899999999999</v>
          </cell>
          <cell r="U58">
            <v>992.90000000000009</v>
          </cell>
          <cell r="V58">
            <v>6059.49</v>
          </cell>
        </row>
        <row r="59">
          <cell r="B59">
            <v>77</v>
          </cell>
          <cell r="D59">
            <v>11470</v>
          </cell>
          <cell r="E59">
            <v>23998.600000000002</v>
          </cell>
          <cell r="F59">
            <v>12982.2</v>
          </cell>
          <cell r="G59">
            <v>10273.6</v>
          </cell>
          <cell r="H59">
            <v>7599.8</v>
          </cell>
          <cell r="I59">
            <v>9879</v>
          </cell>
          <cell r="J59">
            <v>16018.6</v>
          </cell>
          <cell r="K59">
            <v>75306.600000000006</v>
          </cell>
          <cell r="L59">
            <v>59455.3</v>
          </cell>
          <cell r="M59">
            <v>56346.6</v>
          </cell>
          <cell r="N59">
            <v>41310.800000000003</v>
          </cell>
          <cell r="O59">
            <v>28696.989999999998</v>
          </cell>
          <cell r="P59">
            <v>9099</v>
          </cell>
          <cell r="Q59">
            <v>720</v>
          </cell>
          <cell r="R59">
            <v>63479.5</v>
          </cell>
          <cell r="S59">
            <v>29372.99</v>
          </cell>
          <cell r="T59">
            <v>23611.9</v>
          </cell>
          <cell r="U59">
            <v>11312.3</v>
          </cell>
          <cell r="V59">
            <v>490933.77999999997</v>
          </cell>
        </row>
        <row r="60">
          <cell r="B60">
            <v>78</v>
          </cell>
          <cell r="C60">
            <v>121.7</v>
          </cell>
          <cell r="D60">
            <v>17207.7</v>
          </cell>
          <cell r="E60">
            <v>28954.29</v>
          </cell>
          <cell r="F60">
            <v>13379.7</v>
          </cell>
          <cell r="G60">
            <v>8943.2999999999993</v>
          </cell>
          <cell r="H60">
            <v>8022.7</v>
          </cell>
          <cell r="I60">
            <v>3062</v>
          </cell>
          <cell r="J60">
            <v>4989.5</v>
          </cell>
          <cell r="K60">
            <v>33122</v>
          </cell>
          <cell r="L60">
            <v>21047.8</v>
          </cell>
          <cell r="M60">
            <v>29607.600000000002</v>
          </cell>
          <cell r="N60">
            <v>23841.200000000001</v>
          </cell>
          <cell r="O60">
            <v>17949.900000000001</v>
          </cell>
          <cell r="P60">
            <v>2206</v>
          </cell>
          <cell r="Q60">
            <v>891.2</v>
          </cell>
          <cell r="R60">
            <v>39575.1</v>
          </cell>
          <cell r="S60">
            <v>38747.300000000003</v>
          </cell>
          <cell r="T60">
            <v>45551.389999999985</v>
          </cell>
          <cell r="U60">
            <v>42661.679999999993</v>
          </cell>
          <cell r="V60">
            <v>379882.06</v>
          </cell>
        </row>
        <row r="61">
          <cell r="B61">
            <v>80</v>
          </cell>
          <cell r="C61">
            <v>238</v>
          </cell>
          <cell r="D61">
            <v>72463.199999999997</v>
          </cell>
          <cell r="E61">
            <v>184220.09000000005</v>
          </cell>
          <cell r="F61">
            <v>131149.48000000001</v>
          </cell>
          <cell r="G61">
            <v>65272.9</v>
          </cell>
          <cell r="H61">
            <v>70371</v>
          </cell>
          <cell r="I61">
            <v>18079.400000000001</v>
          </cell>
          <cell r="J61">
            <v>24542.5</v>
          </cell>
          <cell r="K61">
            <v>117036.66</v>
          </cell>
          <cell r="L61">
            <v>127338.7</v>
          </cell>
          <cell r="M61">
            <v>152792.59</v>
          </cell>
          <cell r="N61">
            <v>115605.5</v>
          </cell>
          <cell r="O61">
            <v>126979.00000000001</v>
          </cell>
          <cell r="P61">
            <v>108827.8</v>
          </cell>
          <cell r="Q61">
            <v>42771</v>
          </cell>
          <cell r="R61">
            <v>175896.40000000002</v>
          </cell>
          <cell r="S61">
            <v>134907.30000000002</v>
          </cell>
          <cell r="T61">
            <v>157081.60000000001</v>
          </cell>
          <cell r="U61">
            <v>121352.79</v>
          </cell>
          <cell r="V61">
            <v>1946925.9100000004</v>
          </cell>
        </row>
        <row r="62">
          <cell r="B62">
            <v>81</v>
          </cell>
          <cell r="N62">
            <v>447</v>
          </cell>
          <cell r="O62">
            <v>263</v>
          </cell>
          <cell r="R62">
            <v>413</v>
          </cell>
          <cell r="S62">
            <v>300</v>
          </cell>
          <cell r="T62">
            <v>223</v>
          </cell>
          <cell r="V62">
            <v>1646</v>
          </cell>
        </row>
        <row r="63">
          <cell r="B63">
            <v>82</v>
          </cell>
          <cell r="E63">
            <v>1752</v>
          </cell>
          <cell r="F63">
            <v>252</v>
          </cell>
          <cell r="G63">
            <v>450</v>
          </cell>
          <cell r="H63">
            <v>222</v>
          </cell>
          <cell r="I63">
            <v>20150</v>
          </cell>
          <cell r="M63">
            <v>581</v>
          </cell>
          <cell r="N63">
            <v>4545</v>
          </cell>
          <cell r="O63">
            <v>290</v>
          </cell>
          <cell r="P63">
            <v>2201</v>
          </cell>
          <cell r="Q63">
            <v>1950</v>
          </cell>
          <cell r="R63">
            <v>419</v>
          </cell>
          <cell r="T63">
            <v>4383.1000000000004</v>
          </cell>
          <cell r="U63">
            <v>2266</v>
          </cell>
          <cell r="V63">
            <v>39461.1</v>
          </cell>
        </row>
        <row r="64">
          <cell r="B64">
            <v>83</v>
          </cell>
          <cell r="E64">
            <v>5426</v>
          </cell>
          <cell r="G64">
            <v>1250</v>
          </cell>
          <cell r="P64">
            <v>269</v>
          </cell>
          <cell r="R64">
            <v>5652</v>
          </cell>
          <cell r="S64">
            <v>6916</v>
          </cell>
          <cell r="V64">
            <v>19513</v>
          </cell>
        </row>
        <row r="65">
          <cell r="B65">
            <v>84</v>
          </cell>
          <cell r="E65">
            <v>3037.2</v>
          </cell>
          <cell r="F65">
            <v>2726</v>
          </cell>
          <cell r="G65">
            <v>233194</v>
          </cell>
          <cell r="H65">
            <v>4587</v>
          </cell>
          <cell r="I65">
            <v>40000</v>
          </cell>
          <cell r="K65">
            <v>3792</v>
          </cell>
          <cell r="L65">
            <v>157461.4</v>
          </cell>
          <cell r="M65">
            <v>2150.8000000000002</v>
          </cell>
          <cell r="N65">
            <v>28194.9</v>
          </cell>
          <cell r="O65">
            <v>51270</v>
          </cell>
          <cell r="P65">
            <v>2000</v>
          </cell>
          <cell r="R65">
            <v>105255.7</v>
          </cell>
          <cell r="S65">
            <v>24626</v>
          </cell>
          <cell r="T65">
            <v>11248.9</v>
          </cell>
          <cell r="U65">
            <v>13916</v>
          </cell>
          <cell r="V65">
            <v>683459.9</v>
          </cell>
        </row>
        <row r="66">
          <cell r="B66">
            <v>85</v>
          </cell>
          <cell r="D66">
            <v>22690</v>
          </cell>
          <cell r="E66">
            <v>30914.800000000003</v>
          </cell>
          <cell r="F66">
            <v>18748.599999999999</v>
          </cell>
          <cell r="G66">
            <v>12776</v>
          </cell>
          <cell r="H66">
            <v>18151</v>
          </cell>
          <cell r="I66">
            <v>3456</v>
          </cell>
          <cell r="J66">
            <v>721</v>
          </cell>
          <cell r="K66">
            <v>20295</v>
          </cell>
          <cell r="L66">
            <v>9274</v>
          </cell>
          <cell r="M66">
            <v>19260</v>
          </cell>
          <cell r="N66">
            <v>1521</v>
          </cell>
          <cell r="O66">
            <v>28884</v>
          </cell>
          <cell r="P66">
            <v>500</v>
          </cell>
          <cell r="R66">
            <v>10763</v>
          </cell>
          <cell r="S66">
            <v>2117</v>
          </cell>
          <cell r="T66">
            <v>1366</v>
          </cell>
          <cell r="U66">
            <v>168</v>
          </cell>
          <cell r="V66">
            <v>201605.4</v>
          </cell>
        </row>
        <row r="67">
          <cell r="B67">
            <v>86</v>
          </cell>
          <cell r="D67">
            <v>12722.4</v>
          </cell>
          <cell r="E67">
            <v>79194.100000000006</v>
          </cell>
          <cell r="F67">
            <v>16262.2</v>
          </cell>
          <cell r="G67">
            <v>24771.899999999998</v>
          </cell>
          <cell r="H67">
            <v>12452</v>
          </cell>
          <cell r="I67">
            <v>9518</v>
          </cell>
          <cell r="J67">
            <v>43741.3</v>
          </cell>
          <cell r="K67">
            <v>7511.9900000000007</v>
          </cell>
          <cell r="L67">
            <v>58641.7</v>
          </cell>
          <cell r="M67">
            <v>60155.799999999996</v>
          </cell>
          <cell r="N67">
            <v>48716.2</v>
          </cell>
          <cell r="O67">
            <v>28990.1</v>
          </cell>
          <cell r="P67">
            <v>17429.600000000002</v>
          </cell>
          <cell r="Q67">
            <v>16609.2</v>
          </cell>
          <cell r="R67">
            <v>210082.60000000003</v>
          </cell>
          <cell r="S67">
            <v>91575.5</v>
          </cell>
          <cell r="T67">
            <v>165413.69999999998</v>
          </cell>
          <cell r="U67">
            <v>90720.4</v>
          </cell>
          <cell r="V67">
            <v>994508.69000000006</v>
          </cell>
        </row>
        <row r="68">
          <cell r="B68">
            <v>87</v>
          </cell>
          <cell r="E68">
            <v>12320</v>
          </cell>
          <cell r="F68">
            <v>2941</v>
          </cell>
          <cell r="G68">
            <v>8266.6</v>
          </cell>
          <cell r="H68">
            <v>1654</v>
          </cell>
          <cell r="J68">
            <v>1598</v>
          </cell>
          <cell r="K68">
            <v>1100</v>
          </cell>
          <cell r="L68">
            <v>6016</v>
          </cell>
          <cell r="M68">
            <v>972</v>
          </cell>
          <cell r="N68">
            <v>551</v>
          </cell>
          <cell r="O68">
            <v>318</v>
          </cell>
          <cell r="P68">
            <v>4854.9000000000005</v>
          </cell>
          <cell r="Q68">
            <v>5436</v>
          </cell>
          <cell r="R68">
            <v>5233.0999999999995</v>
          </cell>
          <cell r="S68">
            <v>57227</v>
          </cell>
          <cell r="T68">
            <v>17785.099999999999</v>
          </cell>
          <cell r="U68">
            <v>5354</v>
          </cell>
          <cell r="V68">
            <v>131626.70000000001</v>
          </cell>
        </row>
        <row r="69">
          <cell r="B69">
            <v>88</v>
          </cell>
          <cell r="S69">
            <v>3000</v>
          </cell>
          <cell r="T69">
            <v>1332</v>
          </cell>
          <cell r="V69">
            <v>4332</v>
          </cell>
        </row>
        <row r="70">
          <cell r="B70">
            <v>89</v>
          </cell>
          <cell r="D70">
            <v>23296.2</v>
          </cell>
          <cell r="E70">
            <v>112712.29000000001</v>
          </cell>
          <cell r="F70">
            <v>79362.599999999977</v>
          </cell>
          <cell r="G70">
            <v>71274.67</v>
          </cell>
          <cell r="H70">
            <v>36225.599999999991</v>
          </cell>
          <cell r="I70">
            <v>26848.1</v>
          </cell>
          <cell r="J70">
            <v>24401.200000000001</v>
          </cell>
          <cell r="K70">
            <v>129061.84000000001</v>
          </cell>
          <cell r="L70">
            <v>106769.28</v>
          </cell>
          <cell r="M70">
            <v>75319.69</v>
          </cell>
          <cell r="N70">
            <v>93330.98</v>
          </cell>
          <cell r="O70">
            <v>71455.900000000009</v>
          </cell>
          <cell r="P70">
            <v>71088</v>
          </cell>
          <cell r="Q70">
            <v>26501.5</v>
          </cell>
          <cell r="R70">
            <v>106502.16999999998</v>
          </cell>
          <cell r="S70">
            <v>126019.59000000001</v>
          </cell>
          <cell r="T70">
            <v>51287.19000000001</v>
          </cell>
          <cell r="U70">
            <v>42351.700000000004</v>
          </cell>
          <cell r="V70">
            <v>1273808.5</v>
          </cell>
        </row>
        <row r="71">
          <cell r="B71">
            <v>90</v>
          </cell>
          <cell r="C71">
            <v>4606.7999999999993</v>
          </cell>
          <cell r="D71">
            <v>35606.9</v>
          </cell>
          <cell r="E71">
            <v>132133.68</v>
          </cell>
          <cell r="F71">
            <v>66057.09</v>
          </cell>
          <cell r="G71">
            <v>61996.4</v>
          </cell>
          <cell r="H71">
            <v>52242.100000000006</v>
          </cell>
          <cell r="I71">
            <v>12247.6</v>
          </cell>
          <cell r="J71">
            <v>9894.4</v>
          </cell>
          <cell r="K71">
            <v>72717.399999999994</v>
          </cell>
          <cell r="L71">
            <v>113775.39</v>
          </cell>
          <cell r="M71">
            <v>87975.9</v>
          </cell>
          <cell r="N71">
            <v>99001.299999999988</v>
          </cell>
          <cell r="O71">
            <v>59293</v>
          </cell>
          <cell r="P71">
            <v>110332.79999999999</v>
          </cell>
          <cell r="Q71">
            <v>25476.6</v>
          </cell>
          <cell r="R71">
            <v>107486.48999999998</v>
          </cell>
          <cell r="S71">
            <v>118216.19999999998</v>
          </cell>
          <cell r="T71">
            <v>140720.29</v>
          </cell>
          <cell r="U71">
            <v>136629.69999999998</v>
          </cell>
          <cell r="V71">
            <v>1446410.0399999998</v>
          </cell>
        </row>
        <row r="72">
          <cell r="B72">
            <v>91</v>
          </cell>
          <cell r="C72">
            <v>2007.7</v>
          </cell>
          <cell r="D72">
            <v>40410.300000000003</v>
          </cell>
          <cell r="E72">
            <v>184773</v>
          </cell>
          <cell r="F72">
            <v>187656.40000000002</v>
          </cell>
          <cell r="G72">
            <v>89229.3</v>
          </cell>
          <cell r="H72">
            <v>321218.5</v>
          </cell>
          <cell r="I72">
            <v>42959.8</v>
          </cell>
          <cell r="J72">
            <v>60428</v>
          </cell>
          <cell r="K72">
            <v>186406.34</v>
          </cell>
          <cell r="L72">
            <v>281784.40000000002</v>
          </cell>
          <cell r="M72">
            <v>486538.68999999989</v>
          </cell>
          <cell r="N72">
            <v>428442.17999999988</v>
          </cell>
          <cell r="O72">
            <v>297299.8</v>
          </cell>
          <cell r="P72">
            <v>223116.6</v>
          </cell>
          <cell r="Q72">
            <v>106281.60000000001</v>
          </cell>
          <cell r="R72">
            <v>500880.97000000015</v>
          </cell>
          <cell r="S72">
            <v>596750.50000000012</v>
          </cell>
          <cell r="T72">
            <v>257619.6</v>
          </cell>
          <cell r="U72">
            <v>310975.53999999992</v>
          </cell>
          <cell r="V72">
            <v>4604779.22</v>
          </cell>
        </row>
        <row r="73">
          <cell r="B73">
            <v>92</v>
          </cell>
          <cell r="C73">
            <v>385.4</v>
          </cell>
          <cell r="D73">
            <v>10760</v>
          </cell>
          <cell r="E73">
            <v>107533.48999999999</v>
          </cell>
          <cell r="F73">
            <v>29675.69</v>
          </cell>
          <cell r="G73">
            <v>79484.100000000006</v>
          </cell>
          <cell r="H73">
            <v>58335</v>
          </cell>
          <cell r="I73">
            <v>14814.4</v>
          </cell>
          <cell r="J73">
            <v>22636.9</v>
          </cell>
          <cell r="K73">
            <v>88586.590000000011</v>
          </cell>
          <cell r="L73">
            <v>162733.80000000002</v>
          </cell>
          <cell r="M73">
            <v>409434.78999999992</v>
          </cell>
          <cell r="N73">
            <v>293746.78999999986</v>
          </cell>
          <cell r="O73">
            <v>277357.89999999991</v>
          </cell>
          <cell r="P73">
            <v>133679.70000000001</v>
          </cell>
          <cell r="Q73">
            <v>46503.1</v>
          </cell>
          <cell r="R73">
            <v>445409.08999999997</v>
          </cell>
          <cell r="S73">
            <v>329128.75999999995</v>
          </cell>
          <cell r="T73">
            <v>146741.39000000001</v>
          </cell>
          <cell r="U73">
            <v>349464.17999999993</v>
          </cell>
          <cell r="V73">
            <v>3006411.0699999994</v>
          </cell>
        </row>
        <row r="74">
          <cell r="B74">
            <v>93</v>
          </cell>
          <cell r="D74">
            <v>30406</v>
          </cell>
          <cell r="E74">
            <v>66361.89999999998</v>
          </cell>
          <cell r="F74">
            <v>44274.2</v>
          </cell>
          <cell r="G74">
            <v>96930.8</v>
          </cell>
          <cell r="H74">
            <v>80659.100000000006</v>
          </cell>
          <cell r="I74">
            <v>12859</v>
          </cell>
          <cell r="J74">
            <v>9203.4</v>
          </cell>
          <cell r="K74">
            <v>104921</v>
          </cell>
          <cell r="L74">
            <v>66349.900000000009</v>
          </cell>
          <cell r="M74">
            <v>150922.30000000002</v>
          </cell>
          <cell r="N74">
            <v>65935.179999999993</v>
          </cell>
          <cell r="O74">
            <v>95799.700000000012</v>
          </cell>
          <cell r="P74">
            <v>43149.8</v>
          </cell>
          <cell r="Q74">
            <v>18913</v>
          </cell>
          <cell r="R74">
            <v>92125.68</v>
          </cell>
          <cell r="S74">
            <v>66115.099999999991</v>
          </cell>
          <cell r="T74">
            <v>67378.19</v>
          </cell>
          <cell r="U74">
            <v>59888.4</v>
          </cell>
          <cell r="V74">
            <v>1172192.6499999999</v>
          </cell>
        </row>
        <row r="75">
          <cell r="B75">
            <v>94</v>
          </cell>
          <cell r="C75">
            <v>1466.7</v>
          </cell>
          <cell r="D75">
            <v>66158</v>
          </cell>
          <cell r="E75">
            <v>173223.08000000007</v>
          </cell>
          <cell r="F75">
            <v>104202.98999999999</v>
          </cell>
          <cell r="G75">
            <v>67862.59</v>
          </cell>
          <cell r="H75">
            <v>92023.3</v>
          </cell>
          <cell r="I75">
            <v>13186</v>
          </cell>
          <cell r="J75">
            <v>6233</v>
          </cell>
          <cell r="K75">
            <v>87223.290000000008</v>
          </cell>
          <cell r="L75">
            <v>87992.499999999985</v>
          </cell>
          <cell r="M75">
            <v>303654.90000000002</v>
          </cell>
          <cell r="N75">
            <v>141599.29999999996</v>
          </cell>
          <cell r="O75">
            <v>340412.56999999995</v>
          </cell>
          <cell r="P75">
            <v>536111.9</v>
          </cell>
          <cell r="Q75">
            <v>46591.9</v>
          </cell>
          <cell r="R75">
            <v>303309.27000000008</v>
          </cell>
          <cell r="S75">
            <v>363469.88000000012</v>
          </cell>
          <cell r="T75">
            <v>337327.87</v>
          </cell>
          <cell r="U75">
            <v>101055.28999999998</v>
          </cell>
          <cell r="V75">
            <v>3173104.33</v>
          </cell>
        </row>
        <row r="76">
          <cell r="B76">
            <v>95</v>
          </cell>
          <cell r="C76">
            <v>177.5</v>
          </cell>
          <cell r="D76">
            <v>21782.600000000002</v>
          </cell>
          <cell r="E76">
            <v>104543.09</v>
          </cell>
          <cell r="F76">
            <v>87790.779999999984</v>
          </cell>
          <cell r="G76">
            <v>81764</v>
          </cell>
          <cell r="H76">
            <v>39967.599999999999</v>
          </cell>
          <cell r="I76">
            <v>38183</v>
          </cell>
          <cell r="J76">
            <v>21589.3</v>
          </cell>
          <cell r="K76">
            <v>158089</v>
          </cell>
          <cell r="L76">
            <v>105923.59999999999</v>
          </cell>
          <cell r="M76">
            <v>91935.39999999998</v>
          </cell>
          <cell r="N76">
            <v>94735.1</v>
          </cell>
          <cell r="O76">
            <v>36759.700000000004</v>
          </cell>
          <cell r="P76">
            <v>65575.199999999997</v>
          </cell>
          <cell r="Q76">
            <v>51163.700000000004</v>
          </cell>
          <cell r="R76">
            <v>145435.39000000001</v>
          </cell>
          <cell r="S76">
            <v>146026.20000000004</v>
          </cell>
          <cell r="T76">
            <v>124025.7</v>
          </cell>
          <cell r="U76">
            <v>93383.590000000011</v>
          </cell>
          <cell r="V76">
            <v>1508850.4499999997</v>
          </cell>
        </row>
        <row r="77">
          <cell r="B77">
            <v>96</v>
          </cell>
          <cell r="C77">
            <v>1500</v>
          </cell>
          <cell r="D77">
            <v>25099.599999999999</v>
          </cell>
          <cell r="E77">
            <v>172783.59000000003</v>
          </cell>
          <cell r="F77">
            <v>462492.1</v>
          </cell>
          <cell r="G77">
            <v>173229.4</v>
          </cell>
          <cell r="H77">
            <v>95399.799999999988</v>
          </cell>
          <cell r="I77">
            <v>68579.899999999994</v>
          </cell>
          <cell r="J77">
            <v>69267.500000000015</v>
          </cell>
          <cell r="K77">
            <v>283526.08000000007</v>
          </cell>
          <cell r="L77">
            <v>217441.68</v>
          </cell>
          <cell r="M77">
            <v>218735.38999999993</v>
          </cell>
          <cell r="N77">
            <v>222006.10000000006</v>
          </cell>
          <cell r="O77">
            <v>166421.38</v>
          </cell>
          <cell r="P77">
            <v>190417</v>
          </cell>
          <cell r="Q77">
            <v>51202.5</v>
          </cell>
          <cell r="R77">
            <v>231041.39999999997</v>
          </cell>
          <cell r="S77">
            <v>186218.7</v>
          </cell>
          <cell r="T77">
            <v>138244.6</v>
          </cell>
          <cell r="U77">
            <v>126824.30000000005</v>
          </cell>
          <cell r="V77">
            <v>3100431.0200000005</v>
          </cell>
        </row>
        <row r="78">
          <cell r="B78">
            <v>97</v>
          </cell>
          <cell r="C78">
            <v>2917.1</v>
          </cell>
          <cell r="D78">
            <v>88379.7</v>
          </cell>
          <cell r="E78">
            <v>367862.14000000007</v>
          </cell>
          <cell r="F78">
            <v>262919.90000000002</v>
          </cell>
          <cell r="G78">
            <v>211585.1</v>
          </cell>
          <cell r="H78">
            <v>120783.7</v>
          </cell>
          <cell r="I78">
            <v>21611</v>
          </cell>
          <cell r="J78">
            <v>19155</v>
          </cell>
          <cell r="K78">
            <v>372021.29000000004</v>
          </cell>
          <cell r="L78">
            <v>269791.79000000004</v>
          </cell>
          <cell r="M78">
            <v>560261.80000000016</v>
          </cell>
          <cell r="N78">
            <v>461606.99999999994</v>
          </cell>
          <cell r="O78">
            <v>293513.99</v>
          </cell>
          <cell r="P78">
            <v>139646.09999999998</v>
          </cell>
          <cell r="Q78">
            <v>79714.39999999998</v>
          </cell>
          <cell r="R78">
            <v>228872.28</v>
          </cell>
          <cell r="S78">
            <v>256474.49</v>
          </cell>
          <cell r="T78">
            <v>356840.19000000012</v>
          </cell>
          <cell r="U78">
            <v>233992.3</v>
          </cell>
          <cell r="V78">
            <v>4347949.2700000005</v>
          </cell>
        </row>
        <row r="79">
          <cell r="B79">
            <v>98</v>
          </cell>
          <cell r="D79">
            <v>103070</v>
          </cell>
          <cell r="E79">
            <v>170841.08999999997</v>
          </cell>
          <cell r="F79">
            <v>73230.3</v>
          </cell>
          <cell r="G79">
            <v>75471.600000000006</v>
          </cell>
          <cell r="H79">
            <v>33078.199999999997</v>
          </cell>
          <cell r="I79">
            <v>14833</v>
          </cell>
          <cell r="J79">
            <v>16325.5</v>
          </cell>
          <cell r="K79">
            <v>69631.790000000008</v>
          </cell>
          <cell r="L79">
            <v>52890.000000000007</v>
          </cell>
          <cell r="M79">
            <v>76109.299999999988</v>
          </cell>
          <cell r="N79">
            <v>132563.49</v>
          </cell>
          <cell r="O79">
            <v>626331.69999999995</v>
          </cell>
          <cell r="P79">
            <v>82340.399999999994</v>
          </cell>
          <cell r="Q79">
            <v>55810.700000000004</v>
          </cell>
          <cell r="R79">
            <v>132357.29999999999</v>
          </cell>
          <cell r="S79">
            <v>67384.790000000008</v>
          </cell>
          <cell r="T79">
            <v>719654.40000000002</v>
          </cell>
          <cell r="U79">
            <v>113114.2</v>
          </cell>
          <cell r="V79">
            <v>2615037.7600000002</v>
          </cell>
        </row>
        <row r="80">
          <cell r="B80">
            <v>99</v>
          </cell>
          <cell r="C80">
            <v>2095.1</v>
          </cell>
          <cell r="D80">
            <v>2170</v>
          </cell>
          <cell r="E80">
            <v>110764.17000000001</v>
          </cell>
          <cell r="F80">
            <v>28381.9</v>
          </cell>
          <cell r="G80">
            <v>18065.5</v>
          </cell>
          <cell r="H80">
            <v>64128.5</v>
          </cell>
          <cell r="I80">
            <v>7963</v>
          </cell>
          <cell r="J80">
            <v>6586</v>
          </cell>
          <cell r="K80">
            <v>82254.489999999991</v>
          </cell>
          <cell r="L80">
            <v>108924.8</v>
          </cell>
          <cell r="M80">
            <v>29039.7</v>
          </cell>
          <cell r="N80">
            <v>37815.800000000003</v>
          </cell>
          <cell r="O80">
            <v>54206.400000000001</v>
          </cell>
          <cell r="P80">
            <v>14324</v>
          </cell>
          <cell r="Q80">
            <v>17977</v>
          </cell>
          <cell r="R80">
            <v>119556.80000000002</v>
          </cell>
          <cell r="S80">
            <v>105738</v>
          </cell>
          <cell r="T80">
            <v>84295.400000000009</v>
          </cell>
          <cell r="U80">
            <v>48404.2</v>
          </cell>
          <cell r="V80">
            <v>942690.76</v>
          </cell>
        </row>
        <row r="81">
          <cell r="B81">
            <v>101</v>
          </cell>
          <cell r="E81">
            <v>1855</v>
          </cell>
          <cell r="G81">
            <v>849</v>
          </cell>
          <cell r="H81">
            <v>1000</v>
          </cell>
          <cell r="K81">
            <v>9255</v>
          </cell>
          <cell r="L81">
            <v>1882</v>
          </cell>
          <cell r="M81">
            <v>1664</v>
          </cell>
          <cell r="N81">
            <v>5060</v>
          </cell>
          <cell r="O81">
            <v>200</v>
          </cell>
          <cell r="Q81">
            <v>572</v>
          </cell>
          <cell r="R81">
            <v>5677</v>
          </cell>
          <cell r="S81">
            <v>404.8</v>
          </cell>
          <cell r="T81">
            <v>1123</v>
          </cell>
          <cell r="U81">
            <v>975.5</v>
          </cell>
          <cell r="V81">
            <v>30517.3</v>
          </cell>
        </row>
        <row r="82">
          <cell r="B82">
            <v>102</v>
          </cell>
          <cell r="I82">
            <v>250</v>
          </cell>
          <cell r="M82">
            <v>1380</v>
          </cell>
          <cell r="S82">
            <v>2923</v>
          </cell>
          <cell r="T82">
            <v>430</v>
          </cell>
          <cell r="U82">
            <v>117</v>
          </cell>
          <cell r="V82">
            <v>5100</v>
          </cell>
        </row>
        <row r="83">
          <cell r="B83">
            <v>103</v>
          </cell>
          <cell r="D83">
            <v>395.9</v>
          </cell>
          <cell r="E83">
            <v>6521.8</v>
          </cell>
          <cell r="F83">
            <v>4203.6000000000004</v>
          </cell>
          <cell r="G83">
            <v>180</v>
          </cell>
          <cell r="H83">
            <v>809</v>
          </cell>
          <cell r="I83">
            <v>1566</v>
          </cell>
          <cell r="K83">
            <v>489</v>
          </cell>
          <cell r="L83">
            <v>1083</v>
          </cell>
          <cell r="N83">
            <v>589</v>
          </cell>
          <cell r="P83">
            <v>772</v>
          </cell>
          <cell r="Q83">
            <v>1114</v>
          </cell>
          <cell r="R83">
            <v>4143</v>
          </cell>
          <cell r="S83">
            <v>658</v>
          </cell>
          <cell r="T83">
            <v>42256</v>
          </cell>
          <cell r="U83">
            <v>3039</v>
          </cell>
          <cell r="V83">
            <v>67819.3</v>
          </cell>
        </row>
        <row r="84">
          <cell r="B84">
            <v>104</v>
          </cell>
          <cell r="E84">
            <v>1854.8</v>
          </cell>
          <cell r="K84">
            <v>1000</v>
          </cell>
          <cell r="Q84">
            <v>364</v>
          </cell>
          <cell r="V84">
            <v>3218.8</v>
          </cell>
        </row>
        <row r="85">
          <cell r="B85">
            <v>105</v>
          </cell>
          <cell r="E85">
            <v>15179.1</v>
          </cell>
          <cell r="F85">
            <v>2720.3999999999996</v>
          </cell>
          <cell r="G85">
            <v>3976.6</v>
          </cell>
          <cell r="H85">
            <v>50</v>
          </cell>
          <cell r="I85">
            <v>598</v>
          </cell>
          <cell r="J85">
            <v>1423</v>
          </cell>
          <cell r="K85">
            <v>765.7</v>
          </cell>
          <cell r="L85">
            <v>1975.3</v>
          </cell>
          <cell r="N85">
            <v>904.2</v>
          </cell>
          <cell r="O85">
            <v>2702.8</v>
          </cell>
          <cell r="P85">
            <v>1217</v>
          </cell>
          <cell r="Q85">
            <v>1978</v>
          </cell>
          <cell r="R85">
            <v>3930</v>
          </cell>
          <cell r="S85">
            <v>679</v>
          </cell>
          <cell r="T85">
            <v>1734.5</v>
          </cell>
          <cell r="U85">
            <v>220</v>
          </cell>
          <cell r="V85">
            <v>40053.599999999999</v>
          </cell>
        </row>
        <row r="86">
          <cell r="B86">
            <v>106</v>
          </cell>
          <cell r="E86">
            <v>234</v>
          </cell>
          <cell r="H86">
            <v>545</v>
          </cell>
          <cell r="I86">
            <v>550</v>
          </cell>
          <cell r="J86">
            <v>481</v>
          </cell>
          <cell r="K86">
            <v>1727.6</v>
          </cell>
          <cell r="L86">
            <v>1703</v>
          </cell>
          <cell r="M86">
            <v>1000</v>
          </cell>
          <cell r="P86">
            <v>882.7</v>
          </cell>
          <cell r="R86">
            <v>200</v>
          </cell>
          <cell r="U86">
            <v>1500</v>
          </cell>
          <cell r="V86">
            <v>8823.2999999999993</v>
          </cell>
        </row>
        <row r="87">
          <cell r="B87">
            <v>107</v>
          </cell>
          <cell r="P87">
            <v>894</v>
          </cell>
          <cell r="V87">
            <v>894</v>
          </cell>
        </row>
        <row r="88">
          <cell r="B88">
            <v>108</v>
          </cell>
          <cell r="E88">
            <v>1990</v>
          </cell>
          <cell r="F88">
            <v>500</v>
          </cell>
          <cell r="H88">
            <v>267</v>
          </cell>
          <cell r="L88">
            <v>2418</v>
          </cell>
          <cell r="N88">
            <v>234</v>
          </cell>
          <cell r="P88">
            <v>274</v>
          </cell>
          <cell r="R88">
            <v>1327.29</v>
          </cell>
          <cell r="S88">
            <v>760.48</v>
          </cell>
          <cell r="T88">
            <v>145</v>
          </cell>
          <cell r="U88">
            <v>486</v>
          </cell>
          <cell r="V88">
            <v>8401.77</v>
          </cell>
        </row>
      </sheetData>
      <sheetData sheetId="5" refreshError="1"/>
    </sheetDataSet>
  </externalBook>
</externalLink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A454AC-E948-424A-847F-4264997D0EF2}">
  <dimension ref="A2:AG92"/>
  <sheetViews>
    <sheetView topLeftCell="R76" workbookViewId="0">
      <selection activeCell="AG91" sqref="AG91"/>
    </sheetView>
  </sheetViews>
  <sheetFormatPr baseColWidth="10" defaultRowHeight="15" x14ac:dyDescent="0.25"/>
  <cols>
    <col min="1" max="1" width="9" style="24" customWidth="1"/>
  </cols>
  <sheetData>
    <row r="2" spans="1:33" x14ac:dyDescent="0.25">
      <c r="A2" s="162" t="s">
        <v>155</v>
      </c>
      <c r="B2" s="163">
        <v>45992</v>
      </c>
      <c r="C2" s="163">
        <v>45993</v>
      </c>
      <c r="D2" s="163">
        <v>45994</v>
      </c>
      <c r="E2" s="163">
        <v>45995</v>
      </c>
      <c r="F2" s="163">
        <v>45996</v>
      </c>
      <c r="G2" s="163">
        <v>45997</v>
      </c>
      <c r="H2" s="163">
        <v>45998</v>
      </c>
      <c r="I2" s="163">
        <v>45999</v>
      </c>
      <c r="J2" s="163">
        <v>46000</v>
      </c>
      <c r="K2" s="163">
        <v>46001</v>
      </c>
      <c r="L2" s="163">
        <v>46002</v>
      </c>
      <c r="M2" s="163">
        <v>46003</v>
      </c>
      <c r="N2" s="163">
        <v>46004</v>
      </c>
      <c r="O2" s="163">
        <v>46005</v>
      </c>
      <c r="P2" s="163">
        <v>46006</v>
      </c>
      <c r="Q2" s="163">
        <v>46007</v>
      </c>
      <c r="R2" s="163">
        <v>46008</v>
      </c>
      <c r="S2" s="163">
        <v>46009</v>
      </c>
      <c r="T2" s="163">
        <v>46010</v>
      </c>
      <c r="U2" s="163">
        <v>46011</v>
      </c>
      <c r="V2" s="163">
        <v>46012</v>
      </c>
      <c r="W2" s="163">
        <v>46013</v>
      </c>
      <c r="X2" s="163">
        <v>46014</v>
      </c>
      <c r="Y2" s="163">
        <v>46015</v>
      </c>
      <c r="Z2" s="163">
        <v>46016</v>
      </c>
      <c r="AA2" s="163">
        <v>46017</v>
      </c>
      <c r="AB2" s="163">
        <v>46018</v>
      </c>
      <c r="AC2" s="163">
        <v>46019</v>
      </c>
      <c r="AD2" s="163">
        <v>46020</v>
      </c>
      <c r="AE2" s="163">
        <v>46021</v>
      </c>
      <c r="AF2" s="163">
        <v>46022</v>
      </c>
      <c r="AG2" s="164" t="s">
        <v>124</v>
      </c>
    </row>
    <row r="3" spans="1:33" x14ac:dyDescent="0.25">
      <c r="A3" s="24">
        <v>14</v>
      </c>
      <c r="B3">
        <v>1036</v>
      </c>
      <c r="C3">
        <v>2000</v>
      </c>
      <c r="K3">
        <v>2495.1</v>
      </c>
      <c r="AG3">
        <f>SUM(B3:AF3)</f>
        <v>5531.1</v>
      </c>
    </row>
    <row r="4" spans="1:33" x14ac:dyDescent="0.25">
      <c r="A4" s="24">
        <v>15</v>
      </c>
      <c r="B4">
        <v>4815</v>
      </c>
      <c r="C4">
        <v>1600</v>
      </c>
      <c r="D4">
        <v>20498.8</v>
      </c>
      <c r="E4">
        <v>5656</v>
      </c>
      <c r="F4">
        <v>4325.6000000000004</v>
      </c>
      <c r="J4">
        <v>2191</v>
      </c>
      <c r="L4">
        <v>1421</v>
      </c>
      <c r="AG4">
        <f t="shared" ref="AG4:AG67" si="0">SUM(B4:AF4)</f>
        <v>40507.4</v>
      </c>
    </row>
    <row r="5" spans="1:33" x14ac:dyDescent="0.25">
      <c r="A5" s="24">
        <v>16</v>
      </c>
      <c r="B5">
        <v>1257.3</v>
      </c>
      <c r="F5">
        <v>296</v>
      </c>
      <c r="G5">
        <v>2354</v>
      </c>
      <c r="H5">
        <v>5022</v>
      </c>
      <c r="K5">
        <v>302</v>
      </c>
      <c r="L5">
        <v>200</v>
      </c>
      <c r="AG5">
        <f t="shared" si="0"/>
        <v>9431.2999999999993</v>
      </c>
    </row>
    <row r="6" spans="1:33" x14ac:dyDescent="0.25">
      <c r="A6" s="24">
        <v>17</v>
      </c>
      <c r="B6">
        <v>4119.8999999999996</v>
      </c>
      <c r="C6">
        <v>987</v>
      </c>
      <c r="D6">
        <v>1000</v>
      </c>
      <c r="E6">
        <v>3790</v>
      </c>
      <c r="F6">
        <v>1222</v>
      </c>
      <c r="I6">
        <v>3147.9</v>
      </c>
      <c r="J6">
        <v>5000</v>
      </c>
      <c r="K6">
        <v>4843</v>
      </c>
      <c r="L6">
        <v>965</v>
      </c>
      <c r="M6">
        <v>2387</v>
      </c>
      <c r="AG6">
        <f t="shared" si="0"/>
        <v>27461.8</v>
      </c>
    </row>
    <row r="7" spans="1:33" x14ac:dyDescent="0.25">
      <c r="A7" s="24">
        <v>18</v>
      </c>
      <c r="B7">
        <v>430.19</v>
      </c>
      <c r="C7">
        <v>1171</v>
      </c>
      <c r="E7">
        <v>991</v>
      </c>
      <c r="F7">
        <v>893</v>
      </c>
      <c r="G7">
        <v>4538</v>
      </c>
      <c r="H7">
        <v>10052</v>
      </c>
      <c r="I7">
        <v>5030.8999999999996</v>
      </c>
      <c r="J7">
        <v>671</v>
      </c>
      <c r="L7">
        <v>133</v>
      </c>
      <c r="M7">
        <v>1474</v>
      </c>
      <c r="AG7">
        <f t="shared" si="0"/>
        <v>25384.090000000004</v>
      </c>
    </row>
    <row r="8" spans="1:33" x14ac:dyDescent="0.25">
      <c r="A8" s="24">
        <v>19</v>
      </c>
      <c r="C8">
        <v>363</v>
      </c>
      <c r="D8">
        <v>9230</v>
      </c>
      <c r="AG8">
        <f t="shared" si="0"/>
        <v>9593</v>
      </c>
    </row>
    <row r="9" spans="1:33" x14ac:dyDescent="0.25">
      <c r="A9" s="24">
        <v>20</v>
      </c>
      <c r="B9">
        <v>1000</v>
      </c>
      <c r="L9">
        <v>781.6</v>
      </c>
      <c r="AG9">
        <f t="shared" si="0"/>
        <v>1781.6</v>
      </c>
    </row>
    <row r="10" spans="1:33" x14ac:dyDescent="0.25">
      <c r="A10" s="24">
        <v>23</v>
      </c>
      <c r="B10">
        <v>10863</v>
      </c>
      <c r="C10">
        <v>13549.300000000001</v>
      </c>
      <c r="D10">
        <v>16103</v>
      </c>
      <c r="E10">
        <v>19551</v>
      </c>
      <c r="F10">
        <v>13056.3</v>
      </c>
      <c r="G10">
        <v>2493.6</v>
      </c>
      <c r="H10">
        <v>3321</v>
      </c>
      <c r="I10">
        <v>11629</v>
      </c>
      <c r="J10">
        <v>17325</v>
      </c>
      <c r="K10">
        <v>10527.69</v>
      </c>
      <c r="L10">
        <v>11506.4</v>
      </c>
      <c r="M10">
        <v>5321</v>
      </c>
      <c r="AG10">
        <f t="shared" si="0"/>
        <v>135246.29</v>
      </c>
    </row>
    <row r="11" spans="1:33" x14ac:dyDescent="0.25">
      <c r="A11" s="24">
        <v>24</v>
      </c>
      <c r="F11">
        <v>1170</v>
      </c>
      <c r="I11">
        <v>541</v>
      </c>
      <c r="AG11">
        <f t="shared" si="0"/>
        <v>1711</v>
      </c>
    </row>
    <row r="12" spans="1:33" x14ac:dyDescent="0.25">
      <c r="A12" s="24">
        <v>25</v>
      </c>
      <c r="B12">
        <v>8276.7000000000007</v>
      </c>
      <c r="C12">
        <v>2067.2000000000003</v>
      </c>
      <c r="D12">
        <v>3831.59</v>
      </c>
      <c r="E12">
        <v>2086.2999999999997</v>
      </c>
      <c r="F12">
        <v>9042.5</v>
      </c>
      <c r="G12">
        <v>1125</v>
      </c>
      <c r="I12">
        <v>22000.500000000004</v>
      </c>
      <c r="J12">
        <v>406</v>
      </c>
      <c r="K12">
        <v>3630</v>
      </c>
      <c r="L12">
        <v>10773.7</v>
      </c>
      <c r="M12">
        <v>7812.8000000000011</v>
      </c>
      <c r="AG12">
        <f t="shared" si="0"/>
        <v>71052.290000000008</v>
      </c>
    </row>
    <row r="13" spans="1:33" x14ac:dyDescent="0.25">
      <c r="A13" s="24">
        <v>26</v>
      </c>
      <c r="E13">
        <v>196.9</v>
      </c>
      <c r="M13">
        <v>1377</v>
      </c>
      <c r="AG13">
        <f t="shared" si="0"/>
        <v>1573.9</v>
      </c>
    </row>
    <row r="14" spans="1:33" x14ac:dyDescent="0.25">
      <c r="A14" s="24">
        <v>27</v>
      </c>
      <c r="B14">
        <v>183.2</v>
      </c>
      <c r="C14">
        <v>317.39</v>
      </c>
      <c r="I14">
        <v>2664</v>
      </c>
      <c r="L14">
        <v>424</v>
      </c>
      <c r="AG14">
        <f t="shared" si="0"/>
        <v>3588.59</v>
      </c>
    </row>
    <row r="15" spans="1:33" x14ac:dyDescent="0.25">
      <c r="A15" s="24">
        <v>28</v>
      </c>
      <c r="B15">
        <v>500</v>
      </c>
      <c r="C15">
        <v>217</v>
      </c>
      <c r="L15">
        <v>1759.4</v>
      </c>
      <c r="AG15">
        <f t="shared" si="0"/>
        <v>2476.4</v>
      </c>
    </row>
    <row r="16" spans="1:33" x14ac:dyDescent="0.25">
      <c r="A16" s="24">
        <v>29</v>
      </c>
      <c r="B16">
        <v>293</v>
      </c>
      <c r="C16">
        <v>23026</v>
      </c>
      <c r="D16">
        <v>11509</v>
      </c>
      <c r="E16">
        <v>1307</v>
      </c>
      <c r="F16">
        <v>735</v>
      </c>
      <c r="I16">
        <v>10100</v>
      </c>
      <c r="J16">
        <v>12400</v>
      </c>
      <c r="K16">
        <v>400</v>
      </c>
      <c r="M16">
        <v>600</v>
      </c>
      <c r="AG16">
        <f t="shared" si="0"/>
        <v>60370</v>
      </c>
    </row>
    <row r="17" spans="1:33" x14ac:dyDescent="0.25">
      <c r="A17" s="24">
        <v>30</v>
      </c>
      <c r="E17">
        <v>2860.5</v>
      </c>
      <c r="F17">
        <v>6051</v>
      </c>
      <c r="AG17">
        <f t="shared" si="0"/>
        <v>8911.5</v>
      </c>
    </row>
    <row r="18" spans="1:33" x14ac:dyDescent="0.25">
      <c r="A18" s="24">
        <v>31</v>
      </c>
      <c r="B18">
        <v>1025.8</v>
      </c>
      <c r="C18">
        <v>614</v>
      </c>
      <c r="E18">
        <v>730</v>
      </c>
      <c r="H18">
        <v>273</v>
      </c>
      <c r="L18">
        <v>724</v>
      </c>
      <c r="M18">
        <v>500</v>
      </c>
      <c r="AG18">
        <f t="shared" si="0"/>
        <v>3866.8</v>
      </c>
    </row>
    <row r="19" spans="1:33" x14ac:dyDescent="0.25">
      <c r="A19" s="24">
        <v>32</v>
      </c>
      <c r="B19">
        <v>1198</v>
      </c>
      <c r="D19">
        <v>1575</v>
      </c>
      <c r="I19">
        <v>174</v>
      </c>
      <c r="L19">
        <v>1000</v>
      </c>
      <c r="AG19">
        <f t="shared" si="0"/>
        <v>3947</v>
      </c>
    </row>
    <row r="20" spans="1:33" x14ac:dyDescent="0.25">
      <c r="A20" s="24">
        <v>33</v>
      </c>
      <c r="B20">
        <v>3499.4000000000005</v>
      </c>
      <c r="G20">
        <v>750</v>
      </c>
      <c r="I20">
        <v>1002</v>
      </c>
      <c r="J20">
        <v>100</v>
      </c>
      <c r="K20">
        <v>100</v>
      </c>
      <c r="L20">
        <v>1862</v>
      </c>
      <c r="M20">
        <v>307.7</v>
      </c>
      <c r="AG20">
        <f t="shared" si="0"/>
        <v>7621.1</v>
      </c>
    </row>
    <row r="21" spans="1:33" x14ac:dyDescent="0.25">
      <c r="A21" s="24">
        <v>34</v>
      </c>
      <c r="C21">
        <v>141</v>
      </c>
      <c r="D21">
        <v>125</v>
      </c>
      <c r="I21">
        <v>2336.8000000000002</v>
      </c>
      <c r="K21">
        <v>544</v>
      </c>
      <c r="M21">
        <v>678.8</v>
      </c>
      <c r="AG21">
        <f t="shared" si="0"/>
        <v>3825.6000000000004</v>
      </c>
    </row>
    <row r="22" spans="1:33" x14ac:dyDescent="0.25">
      <c r="A22" s="24">
        <v>35</v>
      </c>
      <c r="C22">
        <v>4695</v>
      </c>
      <c r="D22">
        <v>2960</v>
      </c>
      <c r="E22">
        <v>9273</v>
      </c>
      <c r="F22">
        <v>20610</v>
      </c>
      <c r="G22">
        <v>36720</v>
      </c>
      <c r="I22">
        <v>13800</v>
      </c>
      <c r="J22">
        <v>4100</v>
      </c>
      <c r="L22">
        <v>35797</v>
      </c>
      <c r="M22">
        <v>303</v>
      </c>
      <c r="AG22">
        <f t="shared" si="0"/>
        <v>128258</v>
      </c>
    </row>
    <row r="23" spans="1:33" x14ac:dyDescent="0.25">
      <c r="A23" s="24">
        <v>36</v>
      </c>
      <c r="D23">
        <v>584</v>
      </c>
      <c r="E23">
        <v>428</v>
      </c>
      <c r="G23">
        <v>1938</v>
      </c>
      <c r="H23">
        <v>15923.5</v>
      </c>
      <c r="I23">
        <v>2142</v>
      </c>
      <c r="J23">
        <v>7723</v>
      </c>
      <c r="K23">
        <v>1198</v>
      </c>
      <c r="L23">
        <v>1856</v>
      </c>
      <c r="M23">
        <v>535</v>
      </c>
      <c r="AG23">
        <f t="shared" si="0"/>
        <v>32327.5</v>
      </c>
    </row>
    <row r="24" spans="1:33" x14ac:dyDescent="0.25">
      <c r="A24" s="24">
        <v>37</v>
      </c>
      <c r="B24">
        <v>198</v>
      </c>
      <c r="E24">
        <v>1000</v>
      </c>
      <c r="F24">
        <v>500</v>
      </c>
      <c r="K24">
        <v>14363</v>
      </c>
      <c r="L24">
        <v>8264</v>
      </c>
      <c r="M24">
        <v>1404</v>
      </c>
      <c r="AG24">
        <f t="shared" si="0"/>
        <v>25729</v>
      </c>
    </row>
    <row r="25" spans="1:33" x14ac:dyDescent="0.25">
      <c r="A25" s="24">
        <v>39</v>
      </c>
      <c r="B25">
        <v>54008.09</v>
      </c>
      <c r="C25">
        <v>44688</v>
      </c>
      <c r="D25">
        <v>46913.7</v>
      </c>
      <c r="E25">
        <v>32954</v>
      </c>
      <c r="F25">
        <v>11137.6</v>
      </c>
      <c r="G25">
        <v>5463</v>
      </c>
      <c r="H25">
        <v>1702</v>
      </c>
      <c r="I25">
        <v>30403.7</v>
      </c>
      <c r="J25">
        <v>32510</v>
      </c>
      <c r="K25">
        <v>30257.200000000001</v>
      </c>
      <c r="L25">
        <v>27011.8</v>
      </c>
      <c r="M25">
        <v>11654.3</v>
      </c>
      <c r="AG25">
        <f t="shared" si="0"/>
        <v>328703.38999999996</v>
      </c>
    </row>
    <row r="26" spans="1:33" x14ac:dyDescent="0.25">
      <c r="A26" s="24">
        <v>40</v>
      </c>
      <c r="B26">
        <v>44852.5</v>
      </c>
      <c r="C26">
        <v>33723</v>
      </c>
      <c r="D26">
        <v>23170.36</v>
      </c>
      <c r="E26">
        <v>55803.4</v>
      </c>
      <c r="F26">
        <v>28207.979999999996</v>
      </c>
      <c r="G26">
        <v>16128.5</v>
      </c>
      <c r="H26">
        <v>13874.199999999999</v>
      </c>
      <c r="I26">
        <v>90446.97</v>
      </c>
      <c r="J26">
        <v>75275.599999999991</v>
      </c>
      <c r="K26">
        <v>75729.399999999994</v>
      </c>
      <c r="L26">
        <v>62654.289999999986</v>
      </c>
      <c r="M26">
        <v>47044.400000000009</v>
      </c>
      <c r="AG26">
        <f t="shared" si="0"/>
        <v>566910.6</v>
      </c>
    </row>
    <row r="27" spans="1:33" x14ac:dyDescent="0.25">
      <c r="A27" s="24">
        <v>41</v>
      </c>
      <c r="B27">
        <v>81609.600000000006</v>
      </c>
      <c r="C27">
        <v>66474.399999999994</v>
      </c>
      <c r="D27">
        <v>71555.999999999985</v>
      </c>
      <c r="E27">
        <v>61616.599999999991</v>
      </c>
      <c r="F27">
        <v>102280.79999999999</v>
      </c>
      <c r="G27">
        <v>6725</v>
      </c>
      <c r="H27">
        <v>8825.7999999999993</v>
      </c>
      <c r="I27">
        <v>97992.900000000009</v>
      </c>
      <c r="J27">
        <v>207612.79999999999</v>
      </c>
      <c r="K27">
        <v>129626.7</v>
      </c>
      <c r="L27">
        <v>58766.5</v>
      </c>
      <c r="M27">
        <v>55782.5</v>
      </c>
      <c r="AG27">
        <f t="shared" si="0"/>
        <v>948869.59999999986</v>
      </c>
    </row>
    <row r="28" spans="1:33" x14ac:dyDescent="0.25">
      <c r="A28" s="24">
        <v>42</v>
      </c>
      <c r="B28">
        <v>91514.4</v>
      </c>
      <c r="C28">
        <v>86031</v>
      </c>
      <c r="D28">
        <v>69375.600000000006</v>
      </c>
      <c r="E28">
        <v>44816.1</v>
      </c>
      <c r="F28">
        <v>36534.39</v>
      </c>
      <c r="G28">
        <v>11032.9</v>
      </c>
      <c r="H28">
        <v>6795.6</v>
      </c>
      <c r="I28">
        <v>84275.5</v>
      </c>
      <c r="J28">
        <v>49086.7</v>
      </c>
      <c r="K28">
        <v>41206</v>
      </c>
      <c r="L28">
        <v>53665.599999999999</v>
      </c>
      <c r="M28">
        <v>53915.199999999997</v>
      </c>
      <c r="AG28">
        <f t="shared" si="0"/>
        <v>628248.99</v>
      </c>
    </row>
    <row r="29" spans="1:33" x14ac:dyDescent="0.25">
      <c r="A29" s="24">
        <v>43</v>
      </c>
      <c r="B29">
        <v>142751.59000000003</v>
      </c>
      <c r="C29">
        <v>104077.4</v>
      </c>
      <c r="D29">
        <v>106950.90000000001</v>
      </c>
      <c r="E29">
        <v>87164</v>
      </c>
      <c r="F29">
        <v>72021.600000000006</v>
      </c>
      <c r="G29">
        <v>57632</v>
      </c>
      <c r="H29">
        <v>22051.5</v>
      </c>
      <c r="I29">
        <v>169162.7</v>
      </c>
      <c r="J29">
        <v>242951.7</v>
      </c>
      <c r="K29">
        <v>394061.60000000009</v>
      </c>
      <c r="L29">
        <v>164805.5</v>
      </c>
      <c r="M29">
        <v>132467.28999999998</v>
      </c>
      <c r="AG29">
        <f t="shared" si="0"/>
        <v>1696097.78</v>
      </c>
    </row>
    <row r="30" spans="1:33" x14ac:dyDescent="0.25">
      <c r="A30" s="24">
        <v>44</v>
      </c>
      <c r="B30">
        <v>75910.389999999985</v>
      </c>
      <c r="C30">
        <v>43825.8</v>
      </c>
      <c r="D30">
        <v>23165.1</v>
      </c>
      <c r="E30">
        <v>36766.490000000005</v>
      </c>
      <c r="F30">
        <v>54212</v>
      </c>
      <c r="G30">
        <v>9511</v>
      </c>
      <c r="H30">
        <v>9101</v>
      </c>
      <c r="I30">
        <v>74858.200000000012</v>
      </c>
      <c r="J30">
        <v>95296.28</v>
      </c>
      <c r="K30">
        <v>77019.290000000008</v>
      </c>
      <c r="L30">
        <v>51745.400000000009</v>
      </c>
      <c r="M30">
        <v>56084.299999999996</v>
      </c>
      <c r="AG30">
        <f t="shared" si="0"/>
        <v>607495.25000000012</v>
      </c>
    </row>
    <row r="31" spans="1:33" x14ac:dyDescent="0.25">
      <c r="A31" s="24">
        <v>45</v>
      </c>
      <c r="B31">
        <v>97437.3</v>
      </c>
      <c r="C31">
        <v>69688</v>
      </c>
      <c r="D31">
        <v>54593.9</v>
      </c>
      <c r="E31">
        <v>38820.200000000004</v>
      </c>
      <c r="F31">
        <v>78960</v>
      </c>
      <c r="G31">
        <v>25943.399999999998</v>
      </c>
      <c r="H31">
        <v>20608.099999999999</v>
      </c>
      <c r="I31">
        <v>56208.2</v>
      </c>
      <c r="J31">
        <v>92992.5</v>
      </c>
      <c r="K31">
        <v>66369.7</v>
      </c>
      <c r="L31">
        <v>48507.4</v>
      </c>
      <c r="M31">
        <v>59727.4</v>
      </c>
      <c r="AG31">
        <f t="shared" si="0"/>
        <v>709856.10000000009</v>
      </c>
    </row>
    <row r="32" spans="1:33" x14ac:dyDescent="0.25">
      <c r="A32" s="24">
        <v>46</v>
      </c>
      <c r="B32">
        <v>72841.89</v>
      </c>
      <c r="C32">
        <v>49297.5</v>
      </c>
      <c r="D32">
        <v>25605.599999999999</v>
      </c>
      <c r="E32">
        <v>36980.89</v>
      </c>
      <c r="F32">
        <v>36236.9</v>
      </c>
      <c r="G32">
        <v>7624.8</v>
      </c>
      <c r="H32">
        <v>3156.1</v>
      </c>
      <c r="I32">
        <v>55652.89</v>
      </c>
      <c r="J32">
        <v>48804.29</v>
      </c>
      <c r="K32">
        <v>64214.700000000004</v>
      </c>
      <c r="L32">
        <v>74514.490000000005</v>
      </c>
      <c r="M32">
        <v>41536.799999999996</v>
      </c>
      <c r="AG32">
        <f t="shared" si="0"/>
        <v>516466.85</v>
      </c>
    </row>
    <row r="33" spans="1:33" x14ac:dyDescent="0.25">
      <c r="A33" s="24">
        <v>47</v>
      </c>
      <c r="B33">
        <v>82418.899999999994</v>
      </c>
      <c r="C33">
        <v>60409.4</v>
      </c>
      <c r="D33">
        <v>78182.900000000009</v>
      </c>
      <c r="E33">
        <v>37709.599999999999</v>
      </c>
      <c r="F33">
        <v>68684.2</v>
      </c>
      <c r="G33">
        <v>30560</v>
      </c>
      <c r="H33">
        <v>14702.2</v>
      </c>
      <c r="I33">
        <v>91976.499999999985</v>
      </c>
      <c r="J33">
        <v>53854.200000000004</v>
      </c>
      <c r="K33">
        <v>78613.599999999991</v>
      </c>
      <c r="L33">
        <v>101538.711</v>
      </c>
      <c r="M33">
        <v>72248.479999999981</v>
      </c>
      <c r="AG33">
        <f t="shared" si="0"/>
        <v>770898.69099999999</v>
      </c>
    </row>
    <row r="34" spans="1:33" x14ac:dyDescent="0.25">
      <c r="A34" s="24">
        <v>48</v>
      </c>
      <c r="B34">
        <v>97727.39</v>
      </c>
      <c r="C34">
        <v>58430.299999999996</v>
      </c>
      <c r="D34">
        <v>39555.9</v>
      </c>
      <c r="E34">
        <v>39325.789999999994</v>
      </c>
      <c r="F34">
        <v>24416.9</v>
      </c>
      <c r="G34">
        <v>10319.4</v>
      </c>
      <c r="H34">
        <v>5227</v>
      </c>
      <c r="I34">
        <v>56505.3</v>
      </c>
      <c r="J34">
        <v>35781</v>
      </c>
      <c r="K34">
        <v>115472.1</v>
      </c>
      <c r="L34">
        <v>87766.700000000012</v>
      </c>
      <c r="M34">
        <v>115476.59999999998</v>
      </c>
      <c r="AG34">
        <f t="shared" si="0"/>
        <v>686004.38</v>
      </c>
    </row>
    <row r="35" spans="1:33" x14ac:dyDescent="0.25">
      <c r="A35" s="24">
        <v>49</v>
      </c>
      <c r="B35">
        <v>50221.09</v>
      </c>
      <c r="C35">
        <v>29575.79</v>
      </c>
      <c r="D35">
        <v>21316.6</v>
      </c>
      <c r="E35">
        <v>23530.199999999997</v>
      </c>
      <c r="F35">
        <v>24639.089999999997</v>
      </c>
      <c r="G35">
        <v>43450</v>
      </c>
      <c r="H35">
        <v>5632</v>
      </c>
      <c r="I35">
        <v>65642.5</v>
      </c>
      <c r="J35">
        <v>52791.100000000006</v>
      </c>
      <c r="K35">
        <v>63063.5</v>
      </c>
      <c r="L35">
        <v>67646.59</v>
      </c>
      <c r="M35">
        <v>62963.39</v>
      </c>
      <c r="AG35">
        <f t="shared" si="0"/>
        <v>510471.85</v>
      </c>
    </row>
    <row r="36" spans="1:33" x14ac:dyDescent="0.25">
      <c r="A36" s="24">
        <v>50</v>
      </c>
      <c r="B36">
        <v>35403.300000000003</v>
      </c>
      <c r="C36">
        <v>27884</v>
      </c>
      <c r="D36">
        <v>28669.5</v>
      </c>
      <c r="E36">
        <v>20286.5</v>
      </c>
      <c r="F36">
        <v>16532.5</v>
      </c>
      <c r="G36">
        <v>1236</v>
      </c>
      <c r="H36">
        <v>3107</v>
      </c>
      <c r="I36">
        <v>23405.5</v>
      </c>
      <c r="J36">
        <v>23637.100000000002</v>
      </c>
      <c r="K36">
        <v>34872.300000000003</v>
      </c>
      <c r="L36">
        <v>180103.38999999998</v>
      </c>
      <c r="M36">
        <v>27353.599999999999</v>
      </c>
      <c r="AG36">
        <f t="shared" si="0"/>
        <v>422490.68999999994</v>
      </c>
    </row>
    <row r="37" spans="1:33" x14ac:dyDescent="0.25">
      <c r="A37" s="24">
        <v>51</v>
      </c>
      <c r="B37">
        <v>19819.2</v>
      </c>
      <c r="C37">
        <v>12912</v>
      </c>
      <c r="D37">
        <v>12490</v>
      </c>
      <c r="E37">
        <v>17632.89</v>
      </c>
      <c r="F37">
        <v>7583.7</v>
      </c>
      <c r="G37">
        <v>1603</v>
      </c>
      <c r="H37">
        <v>1634</v>
      </c>
      <c r="I37">
        <v>9249.7999999999993</v>
      </c>
      <c r="J37">
        <v>6719.9000000000005</v>
      </c>
      <c r="K37">
        <v>27962.3</v>
      </c>
      <c r="L37">
        <v>17851.400000000001</v>
      </c>
      <c r="M37">
        <v>11935</v>
      </c>
      <c r="AG37">
        <f t="shared" si="0"/>
        <v>147393.19</v>
      </c>
    </row>
    <row r="38" spans="1:33" x14ac:dyDescent="0.25">
      <c r="A38" s="24">
        <v>52</v>
      </c>
      <c r="B38">
        <v>50807.500000000007</v>
      </c>
      <c r="C38">
        <v>69285.09</v>
      </c>
      <c r="D38">
        <v>29851.389999999996</v>
      </c>
      <c r="E38">
        <v>53435.399999999994</v>
      </c>
      <c r="F38">
        <v>26385</v>
      </c>
      <c r="G38">
        <v>14166</v>
      </c>
      <c r="H38">
        <v>3030</v>
      </c>
      <c r="I38">
        <v>78757</v>
      </c>
      <c r="J38">
        <v>63401.7</v>
      </c>
      <c r="K38">
        <v>64973</v>
      </c>
      <c r="L38">
        <v>64713.39</v>
      </c>
      <c r="M38">
        <v>32886</v>
      </c>
      <c r="AG38">
        <f t="shared" si="0"/>
        <v>551691.47</v>
      </c>
    </row>
    <row r="39" spans="1:33" x14ac:dyDescent="0.25">
      <c r="A39" s="24">
        <v>53</v>
      </c>
      <c r="B39">
        <v>21819.000000000004</v>
      </c>
      <c r="C39">
        <v>29300.6</v>
      </c>
      <c r="D39">
        <v>18001.400000000001</v>
      </c>
      <c r="E39">
        <v>23537.9</v>
      </c>
      <c r="F39">
        <v>7860</v>
      </c>
      <c r="G39">
        <v>14099</v>
      </c>
      <c r="H39">
        <v>8546.2000000000007</v>
      </c>
      <c r="I39">
        <v>53289.279999999992</v>
      </c>
      <c r="J39">
        <v>48822.499999999993</v>
      </c>
      <c r="K39">
        <v>69815.199999999997</v>
      </c>
      <c r="L39">
        <v>220740.80000000002</v>
      </c>
      <c r="M39">
        <v>25904.079999999998</v>
      </c>
      <c r="AG39">
        <f t="shared" si="0"/>
        <v>541735.96</v>
      </c>
    </row>
    <row r="40" spans="1:33" x14ac:dyDescent="0.25">
      <c r="A40" s="24">
        <v>55</v>
      </c>
      <c r="B40">
        <v>218386.79000000004</v>
      </c>
      <c r="C40">
        <v>183601.2</v>
      </c>
      <c r="D40">
        <v>79820.599999999991</v>
      </c>
      <c r="E40">
        <v>83118.799999999988</v>
      </c>
      <c r="F40">
        <v>155103.09999999998</v>
      </c>
      <c r="G40">
        <v>47773.2</v>
      </c>
      <c r="H40">
        <v>37498.000000000007</v>
      </c>
      <c r="I40">
        <v>175117.4</v>
      </c>
      <c r="J40">
        <v>99462.6</v>
      </c>
      <c r="K40">
        <v>126009.5</v>
      </c>
      <c r="L40">
        <v>108089.29999999999</v>
      </c>
      <c r="M40">
        <v>520098.19999999995</v>
      </c>
      <c r="AG40">
        <f t="shared" si="0"/>
        <v>1834078.69</v>
      </c>
    </row>
    <row r="41" spans="1:33" x14ac:dyDescent="0.25">
      <c r="A41" s="24">
        <v>60</v>
      </c>
      <c r="B41">
        <v>91002.189999999988</v>
      </c>
      <c r="C41">
        <v>27485.3</v>
      </c>
      <c r="D41">
        <v>54997.49</v>
      </c>
      <c r="E41">
        <v>81206.7</v>
      </c>
      <c r="F41">
        <v>27036.5</v>
      </c>
      <c r="G41">
        <v>7299</v>
      </c>
      <c r="H41">
        <v>7148.4000000000005</v>
      </c>
      <c r="I41">
        <v>36351.5</v>
      </c>
      <c r="J41">
        <v>205107.89</v>
      </c>
      <c r="K41">
        <v>81580.700000000012</v>
      </c>
      <c r="L41">
        <v>141355.19</v>
      </c>
      <c r="M41">
        <v>43035.9</v>
      </c>
      <c r="AG41">
        <f t="shared" si="0"/>
        <v>803606.75999999989</v>
      </c>
    </row>
    <row r="42" spans="1:33" x14ac:dyDescent="0.25">
      <c r="A42" s="24">
        <v>61</v>
      </c>
      <c r="B42">
        <v>35541.46</v>
      </c>
      <c r="C42">
        <v>14483.3</v>
      </c>
      <c r="D42">
        <v>14943</v>
      </c>
      <c r="E42">
        <v>16622.400000000001</v>
      </c>
      <c r="F42">
        <v>5066.5</v>
      </c>
      <c r="G42">
        <v>803</v>
      </c>
      <c r="I42">
        <v>8630.5999999999985</v>
      </c>
      <c r="J42">
        <v>21038.099999999995</v>
      </c>
      <c r="K42">
        <v>4672.8999999999996</v>
      </c>
      <c r="L42">
        <v>11275.1</v>
      </c>
      <c r="M42">
        <v>2414</v>
      </c>
      <c r="AG42">
        <f t="shared" si="0"/>
        <v>135490.35999999999</v>
      </c>
    </row>
    <row r="43" spans="1:33" x14ac:dyDescent="0.25">
      <c r="A43" s="24">
        <v>62</v>
      </c>
      <c r="B43">
        <v>2049</v>
      </c>
      <c r="D43">
        <v>1378</v>
      </c>
      <c r="H43">
        <v>195</v>
      </c>
      <c r="I43">
        <v>4851</v>
      </c>
      <c r="J43">
        <v>547</v>
      </c>
      <c r="K43">
        <v>835.4</v>
      </c>
      <c r="M43">
        <v>1528.6</v>
      </c>
      <c r="AG43">
        <f t="shared" si="0"/>
        <v>11384</v>
      </c>
    </row>
    <row r="44" spans="1:33" x14ac:dyDescent="0.25">
      <c r="A44" s="24">
        <v>64</v>
      </c>
      <c r="B44">
        <v>37283.390000000007</v>
      </c>
      <c r="C44">
        <v>46202.600000000006</v>
      </c>
      <c r="D44">
        <v>69968.39</v>
      </c>
      <c r="E44">
        <v>24422.899999999998</v>
      </c>
      <c r="F44">
        <v>32144.799999999999</v>
      </c>
      <c r="G44">
        <v>4372</v>
      </c>
      <c r="H44">
        <v>6305.5</v>
      </c>
      <c r="I44">
        <v>36414.599999999991</v>
      </c>
      <c r="J44">
        <v>62982</v>
      </c>
      <c r="K44">
        <v>49592.5</v>
      </c>
      <c r="L44">
        <v>44625.799999999996</v>
      </c>
      <c r="M44">
        <v>24236.100000000002</v>
      </c>
      <c r="AG44">
        <f t="shared" si="0"/>
        <v>438550.57999999996</v>
      </c>
    </row>
    <row r="45" spans="1:33" x14ac:dyDescent="0.25">
      <c r="A45" s="24">
        <v>65</v>
      </c>
      <c r="B45">
        <v>18776</v>
      </c>
      <c r="C45">
        <v>27697.8</v>
      </c>
      <c r="D45">
        <v>14742.6</v>
      </c>
      <c r="E45">
        <v>25148.6</v>
      </c>
      <c r="F45">
        <v>10464.800000000001</v>
      </c>
      <c r="G45">
        <v>18067.599999999999</v>
      </c>
      <c r="H45">
        <v>10436.199999999999</v>
      </c>
      <c r="I45">
        <v>103968.47999999998</v>
      </c>
      <c r="J45">
        <v>97125.900000000009</v>
      </c>
      <c r="K45">
        <v>93222.07</v>
      </c>
      <c r="L45">
        <v>96107.700000000026</v>
      </c>
      <c r="M45">
        <v>97713.400000000009</v>
      </c>
      <c r="AG45">
        <f t="shared" si="0"/>
        <v>613471.15</v>
      </c>
    </row>
    <row r="46" spans="1:33" x14ac:dyDescent="0.25">
      <c r="A46" s="24">
        <v>66</v>
      </c>
      <c r="B46">
        <v>20948.5</v>
      </c>
      <c r="C46">
        <v>12386.1</v>
      </c>
      <c r="D46">
        <v>26457.4</v>
      </c>
      <c r="E46">
        <v>13774</v>
      </c>
      <c r="F46">
        <v>11523.4</v>
      </c>
      <c r="G46">
        <v>1618</v>
      </c>
      <c r="H46">
        <v>3857.9</v>
      </c>
      <c r="I46">
        <v>36724.799999999996</v>
      </c>
      <c r="J46">
        <v>48571.6</v>
      </c>
      <c r="K46">
        <v>71673.2</v>
      </c>
      <c r="L46">
        <v>51351.8</v>
      </c>
      <c r="M46">
        <v>45384.889999999992</v>
      </c>
      <c r="AG46">
        <f t="shared" si="0"/>
        <v>344271.58999999997</v>
      </c>
    </row>
    <row r="47" spans="1:33" x14ac:dyDescent="0.25">
      <c r="A47" s="24">
        <v>67</v>
      </c>
      <c r="B47">
        <v>23801.699999999997</v>
      </c>
      <c r="C47">
        <v>12545.9</v>
      </c>
      <c r="D47">
        <v>7331.9</v>
      </c>
      <c r="E47">
        <v>5110.5999999999995</v>
      </c>
      <c r="F47">
        <v>1063</v>
      </c>
      <c r="G47">
        <v>4674</v>
      </c>
      <c r="H47">
        <v>3483</v>
      </c>
      <c r="I47">
        <v>5921.5</v>
      </c>
      <c r="J47">
        <v>15238.2</v>
      </c>
      <c r="K47">
        <v>8504.6</v>
      </c>
      <c r="L47">
        <v>3276.8</v>
      </c>
      <c r="M47">
        <v>3136.3</v>
      </c>
      <c r="AG47">
        <f t="shared" si="0"/>
        <v>94087.500000000015</v>
      </c>
    </row>
    <row r="48" spans="1:33" x14ac:dyDescent="0.25">
      <c r="A48" s="24">
        <v>68</v>
      </c>
      <c r="B48">
        <v>30514.6</v>
      </c>
      <c r="C48">
        <v>19916</v>
      </c>
      <c r="D48">
        <v>9130.1</v>
      </c>
      <c r="E48">
        <v>14900</v>
      </c>
      <c r="F48">
        <v>23463.599999999999</v>
      </c>
      <c r="G48">
        <v>1455</v>
      </c>
      <c r="H48">
        <v>2132</v>
      </c>
      <c r="I48">
        <v>29198.2</v>
      </c>
      <c r="J48">
        <v>24862</v>
      </c>
      <c r="K48">
        <v>38187.4</v>
      </c>
      <c r="L48">
        <v>40148</v>
      </c>
      <c r="M48">
        <v>38659.399999999994</v>
      </c>
      <c r="AG48">
        <f t="shared" si="0"/>
        <v>272566.3</v>
      </c>
    </row>
    <row r="49" spans="1:33" x14ac:dyDescent="0.25">
      <c r="A49" s="24">
        <v>69</v>
      </c>
      <c r="B49">
        <v>2482.9</v>
      </c>
      <c r="C49">
        <v>1531.6</v>
      </c>
      <c r="D49">
        <v>917</v>
      </c>
      <c r="E49">
        <v>10540</v>
      </c>
      <c r="F49">
        <v>481</v>
      </c>
      <c r="G49">
        <v>562</v>
      </c>
      <c r="I49">
        <v>31979</v>
      </c>
      <c r="J49">
        <v>523</v>
      </c>
      <c r="K49">
        <v>13600</v>
      </c>
      <c r="L49">
        <v>18081</v>
      </c>
      <c r="M49">
        <v>6939.9</v>
      </c>
      <c r="AG49">
        <f t="shared" si="0"/>
        <v>87637.4</v>
      </c>
    </row>
    <row r="50" spans="1:33" x14ac:dyDescent="0.25">
      <c r="A50" s="24">
        <v>70</v>
      </c>
      <c r="B50">
        <v>68639.290000000008</v>
      </c>
      <c r="C50">
        <v>66012.19</v>
      </c>
      <c r="D50">
        <v>40400.300000000003</v>
      </c>
      <c r="E50">
        <v>31576.5</v>
      </c>
      <c r="F50">
        <v>27946.899999999998</v>
      </c>
      <c r="G50">
        <v>433.6</v>
      </c>
      <c r="H50">
        <v>1428</v>
      </c>
      <c r="I50">
        <v>62137</v>
      </c>
      <c r="J50">
        <v>29827.8</v>
      </c>
      <c r="K50">
        <v>26250.199999999997</v>
      </c>
      <c r="L50">
        <v>26895.9</v>
      </c>
      <c r="M50">
        <v>22393</v>
      </c>
      <c r="AG50">
        <f t="shared" si="0"/>
        <v>403940.68000000005</v>
      </c>
    </row>
    <row r="51" spans="1:33" x14ac:dyDescent="0.25">
      <c r="A51" s="24">
        <v>71</v>
      </c>
      <c r="B51">
        <v>52886.39</v>
      </c>
      <c r="C51">
        <v>73511.599999999991</v>
      </c>
      <c r="D51">
        <v>50754.3</v>
      </c>
      <c r="E51">
        <v>29696.199999999997</v>
      </c>
      <c r="F51">
        <v>67481.499999999985</v>
      </c>
      <c r="G51">
        <v>8681</v>
      </c>
      <c r="H51">
        <v>1569</v>
      </c>
      <c r="I51">
        <v>92038.9</v>
      </c>
      <c r="J51">
        <v>58583.5</v>
      </c>
      <c r="K51">
        <v>86911.2</v>
      </c>
      <c r="L51">
        <v>71948.89999999998</v>
      </c>
      <c r="M51">
        <v>78382.8</v>
      </c>
      <c r="AG51">
        <f t="shared" si="0"/>
        <v>672445.29</v>
      </c>
    </row>
    <row r="52" spans="1:33" x14ac:dyDescent="0.25">
      <c r="A52" s="24">
        <v>72</v>
      </c>
      <c r="B52">
        <v>9824.2999999999993</v>
      </c>
      <c r="C52">
        <v>2415</v>
      </c>
      <c r="D52">
        <v>6850.6</v>
      </c>
      <c r="E52">
        <v>3482</v>
      </c>
      <c r="F52">
        <v>16086</v>
      </c>
      <c r="G52">
        <v>291</v>
      </c>
      <c r="H52">
        <v>1630</v>
      </c>
      <c r="I52">
        <v>127790.6</v>
      </c>
      <c r="J52">
        <v>23520</v>
      </c>
      <c r="K52">
        <v>29425</v>
      </c>
      <c r="L52">
        <v>50002</v>
      </c>
      <c r="M52">
        <v>20122</v>
      </c>
      <c r="AG52">
        <f t="shared" si="0"/>
        <v>291438.5</v>
      </c>
    </row>
    <row r="53" spans="1:33" x14ac:dyDescent="0.25">
      <c r="A53" s="24">
        <v>73</v>
      </c>
      <c r="B53">
        <v>24801.200000000001</v>
      </c>
      <c r="C53">
        <v>24584</v>
      </c>
      <c r="D53">
        <v>31730.6</v>
      </c>
      <c r="E53">
        <v>28962.2</v>
      </c>
      <c r="F53">
        <v>7830.2</v>
      </c>
      <c r="G53">
        <v>1819.2</v>
      </c>
      <c r="H53">
        <v>358</v>
      </c>
      <c r="I53">
        <v>46575.1</v>
      </c>
      <c r="J53">
        <v>21207</v>
      </c>
      <c r="K53">
        <v>37466.200000000004</v>
      </c>
      <c r="L53">
        <v>37966.800000000003</v>
      </c>
      <c r="M53">
        <v>6606.7</v>
      </c>
      <c r="AG53">
        <f t="shared" si="0"/>
        <v>269907.20000000001</v>
      </c>
    </row>
    <row r="54" spans="1:33" x14ac:dyDescent="0.25">
      <c r="A54" s="24">
        <v>74</v>
      </c>
      <c r="B54">
        <v>17726</v>
      </c>
      <c r="C54">
        <v>20050</v>
      </c>
      <c r="D54">
        <v>6380</v>
      </c>
      <c r="E54">
        <v>8104</v>
      </c>
      <c r="F54">
        <v>1947</v>
      </c>
      <c r="G54">
        <v>390</v>
      </c>
      <c r="H54">
        <v>601</v>
      </c>
      <c r="I54">
        <v>13187</v>
      </c>
      <c r="J54">
        <v>2630</v>
      </c>
      <c r="K54">
        <v>6687</v>
      </c>
      <c r="L54">
        <v>12670</v>
      </c>
      <c r="AG54">
        <f t="shared" si="0"/>
        <v>90372</v>
      </c>
    </row>
    <row r="55" spans="1:33" x14ac:dyDescent="0.25">
      <c r="A55" s="24">
        <v>75</v>
      </c>
      <c r="B55">
        <v>21837.8</v>
      </c>
      <c r="C55">
        <v>13092.6</v>
      </c>
      <c r="D55">
        <v>15212.5</v>
      </c>
      <c r="E55">
        <v>8011.4</v>
      </c>
      <c r="F55">
        <v>7801</v>
      </c>
      <c r="G55">
        <v>7394</v>
      </c>
      <c r="H55">
        <v>4633.5</v>
      </c>
      <c r="I55">
        <v>70676.399999999994</v>
      </c>
      <c r="J55">
        <v>123004.29999999999</v>
      </c>
      <c r="K55">
        <v>77049.600000000006</v>
      </c>
      <c r="L55">
        <v>74899.190000000017</v>
      </c>
      <c r="M55">
        <v>44495.69</v>
      </c>
      <c r="AG55">
        <f t="shared" si="0"/>
        <v>468107.98</v>
      </c>
    </row>
    <row r="56" spans="1:33" x14ac:dyDescent="0.25">
      <c r="A56" s="24">
        <v>76</v>
      </c>
      <c r="B56">
        <v>20800</v>
      </c>
      <c r="C56">
        <v>500</v>
      </c>
      <c r="F56">
        <v>1293</v>
      </c>
      <c r="J56">
        <v>1800</v>
      </c>
      <c r="K56">
        <v>404</v>
      </c>
      <c r="L56">
        <v>1854</v>
      </c>
      <c r="AG56">
        <f t="shared" si="0"/>
        <v>26651</v>
      </c>
    </row>
    <row r="57" spans="1:33" x14ac:dyDescent="0.25">
      <c r="A57" s="24">
        <v>77</v>
      </c>
      <c r="B57">
        <v>27328.590000000004</v>
      </c>
      <c r="C57">
        <v>13903</v>
      </c>
      <c r="D57">
        <v>6621.5999999999995</v>
      </c>
      <c r="E57">
        <v>24143</v>
      </c>
      <c r="F57">
        <v>8611.7000000000007</v>
      </c>
      <c r="G57">
        <v>2765</v>
      </c>
      <c r="H57">
        <v>1880</v>
      </c>
      <c r="I57">
        <v>24217</v>
      </c>
      <c r="J57">
        <v>48665.69</v>
      </c>
      <c r="K57">
        <v>44825.599999999999</v>
      </c>
      <c r="L57">
        <v>22980</v>
      </c>
      <c r="M57">
        <v>15658</v>
      </c>
      <c r="AG57">
        <f t="shared" si="0"/>
        <v>241599.18000000002</v>
      </c>
    </row>
    <row r="58" spans="1:33" x14ac:dyDescent="0.25">
      <c r="A58" s="24">
        <v>78</v>
      </c>
      <c r="B58">
        <v>34274.28</v>
      </c>
      <c r="C58">
        <v>11829.7</v>
      </c>
      <c r="D58">
        <v>12530.7</v>
      </c>
      <c r="E58">
        <v>14620.300000000001</v>
      </c>
      <c r="F58">
        <v>8991</v>
      </c>
      <c r="G58">
        <v>3482</v>
      </c>
      <c r="I58">
        <v>18759.699999999997</v>
      </c>
      <c r="J58">
        <v>9760.39</v>
      </c>
      <c r="K58">
        <v>5633.89</v>
      </c>
      <c r="L58">
        <v>3768</v>
      </c>
      <c r="M58">
        <v>8391</v>
      </c>
      <c r="AG58">
        <f t="shared" si="0"/>
        <v>132040.95999999999</v>
      </c>
    </row>
    <row r="59" spans="1:33" x14ac:dyDescent="0.25">
      <c r="A59" s="24">
        <v>80</v>
      </c>
      <c r="B59">
        <v>119958.1</v>
      </c>
      <c r="C59">
        <v>82611.400000000009</v>
      </c>
      <c r="D59">
        <v>66154.189999999988</v>
      </c>
      <c r="E59">
        <v>104837.19</v>
      </c>
      <c r="F59">
        <v>105648.90000000001</v>
      </c>
      <c r="G59">
        <v>19871.400000000001</v>
      </c>
      <c r="H59">
        <v>27811.3</v>
      </c>
      <c r="I59">
        <v>117763.08999999998</v>
      </c>
      <c r="J59">
        <v>94555.500000000015</v>
      </c>
      <c r="K59">
        <v>156230.29000000004</v>
      </c>
      <c r="L59">
        <v>188585.80000000002</v>
      </c>
      <c r="M59">
        <v>155185.29999999996</v>
      </c>
      <c r="AG59">
        <f t="shared" si="0"/>
        <v>1239212.4600000002</v>
      </c>
    </row>
    <row r="60" spans="1:33" x14ac:dyDescent="0.25">
      <c r="A60" s="24">
        <v>82</v>
      </c>
      <c r="B60">
        <v>48333.7</v>
      </c>
      <c r="C60">
        <v>1917</v>
      </c>
      <c r="D60">
        <v>281</v>
      </c>
      <c r="F60">
        <v>1408.4</v>
      </c>
      <c r="G60">
        <v>1000</v>
      </c>
      <c r="H60">
        <v>13391.1</v>
      </c>
      <c r="I60">
        <v>5070</v>
      </c>
      <c r="J60">
        <v>300</v>
      </c>
      <c r="K60">
        <v>16880</v>
      </c>
      <c r="L60">
        <v>7165</v>
      </c>
      <c r="M60">
        <v>413</v>
      </c>
      <c r="AG60">
        <f t="shared" si="0"/>
        <v>96159.2</v>
      </c>
    </row>
    <row r="61" spans="1:33" x14ac:dyDescent="0.25">
      <c r="A61" s="24">
        <v>83</v>
      </c>
      <c r="I61">
        <v>439</v>
      </c>
      <c r="K61">
        <v>500</v>
      </c>
      <c r="AG61">
        <f t="shared" si="0"/>
        <v>939</v>
      </c>
    </row>
    <row r="62" spans="1:33" x14ac:dyDescent="0.25">
      <c r="A62" s="24">
        <v>84</v>
      </c>
      <c r="B62">
        <v>994</v>
      </c>
      <c r="C62">
        <v>560</v>
      </c>
      <c r="D62">
        <v>731</v>
      </c>
      <c r="E62">
        <v>2963</v>
      </c>
      <c r="F62">
        <v>7479.8</v>
      </c>
      <c r="I62">
        <v>9375.2999999999993</v>
      </c>
      <c r="J62">
        <v>2894</v>
      </c>
      <c r="K62">
        <v>851</v>
      </c>
      <c r="L62">
        <v>1817</v>
      </c>
      <c r="M62">
        <v>819</v>
      </c>
      <c r="AG62">
        <f t="shared" si="0"/>
        <v>28484.1</v>
      </c>
    </row>
    <row r="63" spans="1:33" x14ac:dyDescent="0.25">
      <c r="A63" s="24">
        <v>85</v>
      </c>
      <c r="B63">
        <v>3500</v>
      </c>
      <c r="C63">
        <v>6180.1</v>
      </c>
      <c r="D63">
        <v>835</v>
      </c>
      <c r="E63">
        <v>3209</v>
      </c>
      <c r="F63">
        <v>39336</v>
      </c>
      <c r="H63">
        <v>909.8</v>
      </c>
      <c r="J63">
        <v>31477.200000000001</v>
      </c>
      <c r="K63">
        <v>16840</v>
      </c>
      <c r="L63">
        <v>2992</v>
      </c>
      <c r="M63">
        <v>6374</v>
      </c>
      <c r="AG63">
        <f t="shared" si="0"/>
        <v>111653.1</v>
      </c>
    </row>
    <row r="64" spans="1:33" x14ac:dyDescent="0.25">
      <c r="A64" s="24">
        <v>86</v>
      </c>
      <c r="B64">
        <v>10570.59</v>
      </c>
      <c r="C64">
        <v>33038.600000000006</v>
      </c>
      <c r="D64">
        <v>14507</v>
      </c>
      <c r="E64">
        <v>8937.7999999999993</v>
      </c>
      <c r="F64">
        <v>2834</v>
      </c>
      <c r="G64">
        <v>12552</v>
      </c>
      <c r="H64">
        <v>8875</v>
      </c>
      <c r="I64">
        <v>36071.5</v>
      </c>
      <c r="J64">
        <v>17727</v>
      </c>
      <c r="K64">
        <v>647182.4</v>
      </c>
      <c r="L64">
        <v>43172</v>
      </c>
      <c r="M64">
        <v>21260.5</v>
      </c>
      <c r="AG64">
        <f t="shared" si="0"/>
        <v>856728.39</v>
      </c>
    </row>
    <row r="65" spans="1:33" x14ac:dyDescent="0.25">
      <c r="A65" s="24">
        <v>87</v>
      </c>
      <c r="B65">
        <v>3183.3</v>
      </c>
      <c r="C65">
        <v>17199</v>
      </c>
      <c r="D65">
        <v>691.1</v>
      </c>
      <c r="E65">
        <v>6201.6</v>
      </c>
      <c r="F65">
        <v>1195</v>
      </c>
      <c r="G65">
        <v>5265</v>
      </c>
      <c r="H65">
        <v>1657</v>
      </c>
      <c r="I65">
        <v>3559</v>
      </c>
      <c r="J65">
        <v>6912</v>
      </c>
      <c r="K65">
        <v>44465</v>
      </c>
      <c r="L65">
        <v>184</v>
      </c>
      <c r="M65">
        <v>24138</v>
      </c>
      <c r="AG65">
        <f t="shared" si="0"/>
        <v>114650</v>
      </c>
    </row>
    <row r="66" spans="1:33" x14ac:dyDescent="0.25">
      <c r="A66" s="24">
        <v>88</v>
      </c>
      <c r="C66">
        <v>4543</v>
      </c>
      <c r="AG66">
        <f t="shared" si="0"/>
        <v>4543</v>
      </c>
    </row>
    <row r="67" spans="1:33" x14ac:dyDescent="0.25">
      <c r="A67" s="24">
        <v>89</v>
      </c>
      <c r="B67">
        <v>62055.499999999971</v>
      </c>
      <c r="C67">
        <v>38538.19000000001</v>
      </c>
      <c r="D67">
        <v>45223.500000000007</v>
      </c>
      <c r="E67">
        <v>39052.579999999994</v>
      </c>
      <c r="F67">
        <v>37404.089999999997</v>
      </c>
      <c r="G67">
        <v>19838.8</v>
      </c>
      <c r="H67">
        <v>6921.8</v>
      </c>
      <c r="I67">
        <v>97278.17</v>
      </c>
      <c r="J67">
        <v>91368.47</v>
      </c>
      <c r="K67">
        <v>130870.98999999998</v>
      </c>
      <c r="L67">
        <v>100618.99000000002</v>
      </c>
      <c r="M67">
        <v>65418.899999999994</v>
      </c>
      <c r="AG67">
        <f t="shared" si="0"/>
        <v>734589.98</v>
      </c>
    </row>
    <row r="68" spans="1:33" x14ac:dyDescent="0.25">
      <c r="A68" s="24">
        <v>90</v>
      </c>
      <c r="B68">
        <v>103133.99999999999</v>
      </c>
      <c r="C68">
        <v>82223.900000000009</v>
      </c>
      <c r="D68">
        <v>83741.099999999991</v>
      </c>
      <c r="E68">
        <v>60804.80000000001</v>
      </c>
      <c r="F68">
        <v>28681.3</v>
      </c>
      <c r="G68">
        <v>12666.3</v>
      </c>
      <c r="H68">
        <v>10350</v>
      </c>
      <c r="I68">
        <v>114051.90000000001</v>
      </c>
      <c r="J68">
        <v>93380.200000000012</v>
      </c>
      <c r="K68">
        <v>99153.9</v>
      </c>
      <c r="L68">
        <v>120905.4</v>
      </c>
      <c r="M68">
        <v>73504.690000000017</v>
      </c>
      <c r="AG68">
        <f t="shared" ref="AG68:AG89" si="1">SUM(B68:AF68)</f>
        <v>882597.49000000011</v>
      </c>
    </row>
    <row r="69" spans="1:33" x14ac:dyDescent="0.25">
      <c r="A69" s="24">
        <v>91</v>
      </c>
      <c r="B69">
        <v>142050.49000000002</v>
      </c>
      <c r="C69">
        <v>275044.40000000002</v>
      </c>
      <c r="D69">
        <v>192497.19999999998</v>
      </c>
      <c r="E69">
        <v>179699.20000000001</v>
      </c>
      <c r="F69">
        <v>117170.8</v>
      </c>
      <c r="G69">
        <v>62426</v>
      </c>
      <c r="H69">
        <v>20595.500000000004</v>
      </c>
      <c r="I69">
        <v>888313.20000000007</v>
      </c>
      <c r="J69">
        <v>530823.78999999992</v>
      </c>
      <c r="K69">
        <v>336082.58</v>
      </c>
      <c r="L69">
        <v>405545.39999999997</v>
      </c>
      <c r="M69">
        <v>244385.2</v>
      </c>
      <c r="AG69">
        <f t="shared" si="1"/>
        <v>3394633.7600000002</v>
      </c>
    </row>
    <row r="70" spans="1:33" x14ac:dyDescent="0.25">
      <c r="A70" s="24">
        <v>92</v>
      </c>
      <c r="B70">
        <v>73405.199999999983</v>
      </c>
      <c r="C70">
        <v>224717.49999999997</v>
      </c>
      <c r="D70">
        <v>417518.39</v>
      </c>
      <c r="E70">
        <v>244791.80000000002</v>
      </c>
      <c r="F70">
        <v>103744.09999999999</v>
      </c>
      <c r="G70">
        <v>6235.7</v>
      </c>
      <c r="H70">
        <v>10038</v>
      </c>
      <c r="I70">
        <v>109807.09999999999</v>
      </c>
      <c r="J70">
        <v>241771.69999999995</v>
      </c>
      <c r="K70">
        <v>136724.38999999996</v>
      </c>
      <c r="L70">
        <v>198597.10000000003</v>
      </c>
      <c r="M70">
        <v>127925.49999999999</v>
      </c>
      <c r="AG70">
        <f t="shared" si="1"/>
        <v>1895276.48</v>
      </c>
    </row>
    <row r="71" spans="1:33" x14ac:dyDescent="0.25">
      <c r="A71" s="24">
        <v>93</v>
      </c>
      <c r="B71">
        <v>71444.200000000026</v>
      </c>
      <c r="C71">
        <v>57570.299999999996</v>
      </c>
      <c r="D71">
        <v>55744</v>
      </c>
      <c r="E71">
        <v>27772.199999999997</v>
      </c>
      <c r="F71">
        <v>19971</v>
      </c>
      <c r="G71">
        <v>13894</v>
      </c>
      <c r="H71">
        <v>14689</v>
      </c>
      <c r="I71">
        <v>47596.390000000007</v>
      </c>
      <c r="J71">
        <v>70414</v>
      </c>
      <c r="K71">
        <v>155097.99000000002</v>
      </c>
      <c r="L71">
        <v>138481.38999999998</v>
      </c>
      <c r="M71">
        <v>114932.29000000001</v>
      </c>
      <c r="AG71">
        <f t="shared" si="1"/>
        <v>787606.76000000013</v>
      </c>
    </row>
    <row r="72" spans="1:33" x14ac:dyDescent="0.25">
      <c r="A72" s="24">
        <v>94</v>
      </c>
      <c r="B72">
        <v>110162.26</v>
      </c>
      <c r="C72">
        <v>57868.790000000008</v>
      </c>
      <c r="D72">
        <v>66785.48</v>
      </c>
      <c r="E72">
        <v>144898.80000000002</v>
      </c>
      <c r="F72">
        <v>24788.800000000003</v>
      </c>
      <c r="G72">
        <v>17806.3</v>
      </c>
      <c r="H72">
        <v>17285</v>
      </c>
      <c r="I72">
        <v>65599.47</v>
      </c>
      <c r="J72">
        <v>50365.1</v>
      </c>
      <c r="K72">
        <v>161178.38999999998</v>
      </c>
      <c r="L72">
        <v>87696.60000000002</v>
      </c>
      <c r="M72">
        <v>98045.799999999988</v>
      </c>
      <c r="AG72">
        <f t="shared" si="1"/>
        <v>902480.7899999998</v>
      </c>
    </row>
    <row r="73" spans="1:33" x14ac:dyDescent="0.25">
      <c r="A73" s="24">
        <v>95</v>
      </c>
      <c r="B73">
        <v>102164.09</v>
      </c>
      <c r="C73">
        <v>72589.5</v>
      </c>
      <c r="D73">
        <v>89225.700000000012</v>
      </c>
      <c r="E73">
        <v>70223.799999999988</v>
      </c>
      <c r="F73">
        <v>39965.1</v>
      </c>
      <c r="G73">
        <v>27369.499999999996</v>
      </c>
      <c r="H73">
        <v>21279.1</v>
      </c>
      <c r="I73">
        <v>101375.99999999999</v>
      </c>
      <c r="J73">
        <v>122831.9</v>
      </c>
      <c r="K73">
        <v>99402.700000000012</v>
      </c>
      <c r="L73">
        <v>82871.19</v>
      </c>
      <c r="M73">
        <v>82095.700000000012</v>
      </c>
      <c r="AG73">
        <f t="shared" si="1"/>
        <v>911394.2799999998</v>
      </c>
    </row>
    <row r="74" spans="1:33" x14ac:dyDescent="0.25">
      <c r="A74" s="24">
        <v>96</v>
      </c>
      <c r="B74">
        <v>82166.10000000002</v>
      </c>
      <c r="C74">
        <v>81995.199999999997</v>
      </c>
      <c r="D74">
        <v>50597.599999999999</v>
      </c>
      <c r="E74">
        <v>124789.16</v>
      </c>
      <c r="F74">
        <v>135971.29</v>
      </c>
      <c r="G74">
        <v>75919.599999999991</v>
      </c>
      <c r="H74">
        <v>69568.2</v>
      </c>
      <c r="I74">
        <v>219373.06000000003</v>
      </c>
      <c r="J74">
        <v>308613.69000000012</v>
      </c>
      <c r="K74">
        <v>255261.98</v>
      </c>
      <c r="L74">
        <v>253286.7</v>
      </c>
      <c r="M74">
        <v>76717.500000000029</v>
      </c>
      <c r="AG74">
        <f t="shared" si="1"/>
        <v>1734260.08</v>
      </c>
    </row>
    <row r="75" spans="1:33" x14ac:dyDescent="0.25">
      <c r="A75" s="24">
        <v>97</v>
      </c>
      <c r="B75">
        <v>193828.8</v>
      </c>
      <c r="C75">
        <v>141461.79999999999</v>
      </c>
      <c r="D75">
        <v>90213.6</v>
      </c>
      <c r="E75">
        <v>84182.8</v>
      </c>
      <c r="F75">
        <v>79470.899999999994</v>
      </c>
      <c r="G75">
        <v>33245.699999999997</v>
      </c>
      <c r="H75">
        <v>9685</v>
      </c>
      <c r="I75">
        <v>111377.5</v>
      </c>
      <c r="J75">
        <v>123755.40000000001</v>
      </c>
      <c r="K75">
        <v>185184.90000000002</v>
      </c>
      <c r="L75">
        <v>229871.2</v>
      </c>
      <c r="M75">
        <v>204340</v>
      </c>
      <c r="AG75">
        <f t="shared" si="1"/>
        <v>1486617.5999999999</v>
      </c>
    </row>
    <row r="76" spans="1:33" x14ac:dyDescent="0.25">
      <c r="A76" s="24">
        <v>98</v>
      </c>
      <c r="B76">
        <v>51713.80000000001</v>
      </c>
      <c r="C76">
        <v>194606.88999999998</v>
      </c>
      <c r="D76">
        <v>42641.7</v>
      </c>
      <c r="E76">
        <v>55307.6</v>
      </c>
      <c r="F76">
        <v>25164.5</v>
      </c>
      <c r="G76">
        <v>14949</v>
      </c>
      <c r="H76">
        <v>9849.9</v>
      </c>
      <c r="I76">
        <v>70443.100000000006</v>
      </c>
      <c r="J76">
        <v>53094.2</v>
      </c>
      <c r="K76">
        <v>66156.399999999994</v>
      </c>
      <c r="L76">
        <v>484414.4</v>
      </c>
      <c r="M76">
        <v>64470.5</v>
      </c>
      <c r="AG76">
        <f t="shared" si="1"/>
        <v>1132811.99</v>
      </c>
    </row>
    <row r="77" spans="1:33" x14ac:dyDescent="0.25">
      <c r="A77" s="24">
        <v>99</v>
      </c>
      <c r="B77">
        <v>87101.400000000009</v>
      </c>
      <c r="C77">
        <v>70479.5</v>
      </c>
      <c r="D77">
        <v>53681.7</v>
      </c>
      <c r="E77">
        <v>36837.9</v>
      </c>
      <c r="F77">
        <v>31452</v>
      </c>
      <c r="G77">
        <v>10044</v>
      </c>
      <c r="H77">
        <v>4742.6000000000004</v>
      </c>
      <c r="I77">
        <v>48126.89</v>
      </c>
      <c r="J77">
        <v>35964</v>
      </c>
      <c r="K77">
        <v>51958.100000000006</v>
      </c>
      <c r="L77">
        <v>76036.699999999983</v>
      </c>
      <c r="M77">
        <v>45664</v>
      </c>
      <c r="AG77">
        <f t="shared" si="1"/>
        <v>552088.78999999992</v>
      </c>
    </row>
    <row r="78" spans="1:33" x14ac:dyDescent="0.25">
      <c r="A78" s="24">
        <v>101</v>
      </c>
      <c r="B78">
        <v>1861.8</v>
      </c>
      <c r="C78">
        <v>314</v>
      </c>
      <c r="F78">
        <v>852.40000000000009</v>
      </c>
      <c r="K78">
        <v>457</v>
      </c>
      <c r="AG78">
        <f t="shared" si="1"/>
        <v>3485.2000000000003</v>
      </c>
    </row>
    <row r="79" spans="1:33" x14ac:dyDescent="0.25">
      <c r="A79" s="24">
        <v>103</v>
      </c>
      <c r="B79">
        <v>4939.2000000000007</v>
      </c>
      <c r="C79">
        <v>2313.8000000000002</v>
      </c>
      <c r="D79">
        <v>3268.1</v>
      </c>
      <c r="E79">
        <v>1186.4000000000001</v>
      </c>
      <c r="F79">
        <v>1019</v>
      </c>
      <c r="G79">
        <v>320</v>
      </c>
      <c r="H79">
        <v>1306.4999999999998</v>
      </c>
      <c r="I79">
        <v>3132</v>
      </c>
      <c r="J79">
        <v>1013</v>
      </c>
      <c r="K79">
        <v>495</v>
      </c>
      <c r="L79">
        <v>67259</v>
      </c>
      <c r="M79">
        <v>200</v>
      </c>
      <c r="AG79">
        <f t="shared" si="1"/>
        <v>86452</v>
      </c>
    </row>
    <row r="80" spans="1:33" x14ac:dyDescent="0.25">
      <c r="A80" s="24">
        <v>104</v>
      </c>
      <c r="E80">
        <v>177</v>
      </c>
      <c r="K80">
        <v>734</v>
      </c>
      <c r="AG80">
        <f t="shared" si="1"/>
        <v>911</v>
      </c>
    </row>
    <row r="81" spans="1:33" x14ac:dyDescent="0.25">
      <c r="A81" s="24">
        <v>105</v>
      </c>
      <c r="B81">
        <v>4483</v>
      </c>
      <c r="C81">
        <v>5935</v>
      </c>
      <c r="D81">
        <v>1090</v>
      </c>
      <c r="E81">
        <v>402.5</v>
      </c>
      <c r="F81">
        <v>8519.39</v>
      </c>
      <c r="H81">
        <v>129</v>
      </c>
      <c r="I81">
        <v>1924</v>
      </c>
      <c r="J81">
        <v>2353</v>
      </c>
      <c r="K81">
        <v>8422.2999999999993</v>
      </c>
      <c r="L81">
        <v>5520</v>
      </c>
      <c r="AG81">
        <f t="shared" si="1"/>
        <v>38778.19</v>
      </c>
    </row>
    <row r="82" spans="1:33" x14ac:dyDescent="0.25">
      <c r="A82" s="24">
        <v>106</v>
      </c>
      <c r="B82">
        <v>630</v>
      </c>
      <c r="I82">
        <v>114</v>
      </c>
      <c r="L82">
        <v>1250</v>
      </c>
      <c r="AG82">
        <f t="shared" si="1"/>
        <v>1994</v>
      </c>
    </row>
    <row r="83" spans="1:33" x14ac:dyDescent="0.25">
      <c r="A83" s="24">
        <v>107</v>
      </c>
      <c r="F83">
        <v>229</v>
      </c>
      <c r="AG83">
        <f t="shared" si="1"/>
        <v>229</v>
      </c>
    </row>
    <row r="84" spans="1:33" x14ac:dyDescent="0.25">
      <c r="A84" s="24">
        <v>108</v>
      </c>
      <c r="B84">
        <v>1330</v>
      </c>
      <c r="E84">
        <v>202</v>
      </c>
      <c r="K84">
        <v>400</v>
      </c>
      <c r="M84">
        <v>2627</v>
      </c>
      <c r="AG84">
        <f t="shared" si="1"/>
        <v>4559</v>
      </c>
    </row>
    <row r="85" spans="1:33" x14ac:dyDescent="0.25">
      <c r="AG85">
        <f t="shared" si="1"/>
        <v>0</v>
      </c>
    </row>
    <row r="86" spans="1:33" x14ac:dyDescent="0.25">
      <c r="AG86">
        <f t="shared" si="1"/>
        <v>0</v>
      </c>
    </row>
    <row r="87" spans="1:33" x14ac:dyDescent="0.25">
      <c r="AG87">
        <f t="shared" si="1"/>
        <v>0</v>
      </c>
    </row>
    <row r="88" spans="1:33" x14ac:dyDescent="0.25">
      <c r="AG88">
        <f t="shared" si="1"/>
        <v>0</v>
      </c>
    </row>
    <row r="89" spans="1:33" x14ac:dyDescent="0.25">
      <c r="A89" s="24" t="s">
        <v>124</v>
      </c>
      <c r="B89">
        <f>SUM(B3:B87)</f>
        <v>3095751.54</v>
      </c>
      <c r="C89">
        <f t="shared" ref="C89:AF89" si="2">SUM(C3:C87)</f>
        <v>2859805.93</v>
      </c>
      <c r="D89">
        <f t="shared" si="2"/>
        <v>2442409.6800000011</v>
      </c>
      <c r="E89">
        <f t="shared" si="2"/>
        <v>2278166.39</v>
      </c>
      <c r="F89">
        <f t="shared" si="2"/>
        <v>1880234.8299999998</v>
      </c>
      <c r="G89">
        <f t="shared" si="2"/>
        <v>750695.49999999988</v>
      </c>
      <c r="H89">
        <f t="shared" si="2"/>
        <v>494823.5</v>
      </c>
      <c r="I89">
        <f t="shared" si="2"/>
        <v>4087724.4900000007</v>
      </c>
      <c r="J89">
        <f t="shared" si="2"/>
        <v>3953524.49</v>
      </c>
      <c r="K89">
        <f t="shared" si="2"/>
        <v>4744719.6500000004</v>
      </c>
      <c r="L89">
        <f t="shared" si="2"/>
        <v>4673064.4110000003</v>
      </c>
      <c r="M89">
        <f t="shared" si="2"/>
        <v>3217392.4</v>
      </c>
      <c r="N89">
        <f t="shared" si="2"/>
        <v>0</v>
      </c>
      <c r="O89">
        <f t="shared" si="2"/>
        <v>0</v>
      </c>
      <c r="P89">
        <f t="shared" si="2"/>
        <v>0</v>
      </c>
      <c r="Q89">
        <f t="shared" si="2"/>
        <v>0</v>
      </c>
      <c r="R89">
        <f t="shared" si="2"/>
        <v>0</v>
      </c>
      <c r="S89">
        <f t="shared" si="2"/>
        <v>0</v>
      </c>
      <c r="T89">
        <f t="shared" si="2"/>
        <v>0</v>
      </c>
      <c r="U89">
        <f t="shared" si="2"/>
        <v>0</v>
      </c>
      <c r="V89">
        <f t="shared" si="2"/>
        <v>0</v>
      </c>
      <c r="W89">
        <f t="shared" si="2"/>
        <v>0</v>
      </c>
      <c r="X89">
        <f t="shared" si="2"/>
        <v>0</v>
      </c>
      <c r="Y89">
        <f t="shared" si="2"/>
        <v>0</v>
      </c>
      <c r="Z89">
        <f t="shared" si="2"/>
        <v>0</v>
      </c>
      <c r="AA89">
        <f t="shared" si="2"/>
        <v>0</v>
      </c>
      <c r="AB89">
        <f t="shared" si="2"/>
        <v>0</v>
      </c>
      <c r="AC89">
        <f t="shared" si="2"/>
        <v>0</v>
      </c>
      <c r="AD89">
        <f t="shared" si="2"/>
        <v>0</v>
      </c>
      <c r="AE89">
        <f t="shared" si="2"/>
        <v>0</v>
      </c>
      <c r="AF89">
        <f t="shared" si="2"/>
        <v>0</v>
      </c>
      <c r="AG89">
        <f t="shared" si="1"/>
        <v>34478312.810999997</v>
      </c>
    </row>
    <row r="92" spans="1:33" ht="45" x14ac:dyDescent="0.25">
      <c r="I92" s="4" t="s">
        <v>157</v>
      </c>
    </row>
  </sheetData>
  <phoneticPr fontId="1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Feuil8">
    <tabColor theme="5" tint="0.59999389629810485"/>
  </sheetPr>
  <dimension ref="A1:AH92"/>
  <sheetViews>
    <sheetView topLeftCell="A31" workbookViewId="0">
      <selection activeCell="H12" sqref="H12"/>
    </sheetView>
  </sheetViews>
  <sheetFormatPr baseColWidth="10" defaultRowHeight="15" x14ac:dyDescent="0.25"/>
  <cols>
    <col min="1" max="1" width="6.28515625" customWidth="1"/>
    <col min="2" max="2" width="4.28515625" style="24" customWidth="1"/>
    <col min="3" max="6" width="9.28515625" customWidth="1"/>
    <col min="7" max="15" width="9.28515625" bestFit="1" customWidth="1"/>
    <col min="16" max="18" width="9.28515625" customWidth="1"/>
    <col min="19" max="19" width="9.28515625" bestFit="1" customWidth="1"/>
    <col min="20" max="20" width="9.5703125" customWidth="1"/>
    <col min="21" max="21" width="9.28515625" customWidth="1"/>
    <col min="22" max="22" width="9.28515625" bestFit="1" customWidth="1"/>
    <col min="23" max="23" width="9.28515625" customWidth="1"/>
    <col min="24" max="24" width="9.28515625" bestFit="1" customWidth="1"/>
    <col min="25" max="25" width="9.28515625" customWidth="1"/>
    <col min="26" max="26" width="9.28515625" bestFit="1" customWidth="1"/>
    <col min="27" max="28" width="9.28515625" customWidth="1"/>
    <col min="29" max="30" width="9.28515625" bestFit="1" customWidth="1"/>
    <col min="31" max="31" width="10.28515625" customWidth="1"/>
    <col min="32" max="32" width="9.85546875" customWidth="1"/>
    <col min="33" max="33" width="10.140625" customWidth="1"/>
    <col min="34" max="34" width="10.5703125" customWidth="1"/>
  </cols>
  <sheetData>
    <row r="1" spans="1:34" x14ac:dyDescent="0.25">
      <c r="A1" s="40" t="s">
        <v>102</v>
      </c>
      <c r="B1" s="40" t="s">
        <v>2</v>
      </c>
      <c r="C1" s="39">
        <v>46113</v>
      </c>
      <c r="D1" s="39">
        <v>46114</v>
      </c>
      <c r="E1" s="39">
        <v>46115</v>
      </c>
      <c r="F1" s="39">
        <v>46116</v>
      </c>
      <c r="G1" s="39">
        <v>46117</v>
      </c>
      <c r="H1" s="39">
        <v>46118</v>
      </c>
      <c r="I1" s="39">
        <v>46119</v>
      </c>
      <c r="J1" s="39">
        <v>46120</v>
      </c>
      <c r="K1" s="39">
        <v>46121</v>
      </c>
      <c r="L1" s="39">
        <v>46122</v>
      </c>
      <c r="M1" s="39">
        <v>46123</v>
      </c>
      <c r="N1" s="39">
        <v>46124</v>
      </c>
      <c r="O1" s="39">
        <v>46125</v>
      </c>
      <c r="P1" s="39">
        <v>46126</v>
      </c>
      <c r="Q1" s="39">
        <v>46127</v>
      </c>
      <c r="R1" s="39">
        <v>46128</v>
      </c>
      <c r="S1" s="39">
        <v>46129</v>
      </c>
      <c r="T1" s="39">
        <v>46130</v>
      </c>
      <c r="U1" s="39">
        <v>46131</v>
      </c>
      <c r="V1" s="39">
        <v>46132</v>
      </c>
      <c r="W1" s="39">
        <v>46133</v>
      </c>
      <c r="X1" s="39">
        <v>46134</v>
      </c>
      <c r="Y1" s="39">
        <v>46135</v>
      </c>
      <c r="Z1" s="39">
        <v>46136</v>
      </c>
      <c r="AA1" s="39">
        <v>46137</v>
      </c>
      <c r="AB1" s="39">
        <v>46138</v>
      </c>
      <c r="AC1" s="39">
        <v>46139</v>
      </c>
      <c r="AD1" s="39">
        <v>46140</v>
      </c>
      <c r="AE1" s="39">
        <v>46141</v>
      </c>
      <c r="AF1" s="39">
        <v>46142</v>
      </c>
      <c r="AG1" s="39"/>
      <c r="AH1" s="40" t="s">
        <v>103</v>
      </c>
    </row>
    <row r="2" spans="1:34" x14ac:dyDescent="0.25">
      <c r="A2" s="48" t="s">
        <v>104</v>
      </c>
      <c r="B2" s="71">
        <v>14</v>
      </c>
      <c r="C2" s="10">
        <v>2035</v>
      </c>
      <c r="D2" s="10">
        <v>5075</v>
      </c>
      <c r="E2" s="10"/>
      <c r="F2" s="10"/>
      <c r="G2" s="10"/>
      <c r="H2" s="10">
        <v>250</v>
      </c>
      <c r="I2" s="10">
        <v>1170</v>
      </c>
      <c r="J2" s="10"/>
      <c r="K2" s="10">
        <v>5084</v>
      </c>
      <c r="L2" s="10"/>
      <c r="M2" s="10"/>
      <c r="N2" s="10"/>
      <c r="O2" s="10"/>
      <c r="P2" s="10"/>
      <c r="Q2" s="10"/>
      <c r="R2" s="10"/>
      <c r="S2" s="10"/>
      <c r="T2" s="10"/>
      <c r="U2" s="10"/>
      <c r="V2" s="10"/>
      <c r="W2" s="10"/>
      <c r="X2" s="10"/>
      <c r="Y2" s="10"/>
      <c r="Z2" s="10"/>
      <c r="AA2" s="10"/>
      <c r="AB2" s="10"/>
      <c r="AC2" s="10"/>
      <c r="AD2" s="10"/>
      <c r="AE2" s="10"/>
      <c r="AF2" s="10"/>
      <c r="AG2" s="10"/>
      <c r="AH2" s="44">
        <f t="shared" ref="AH2:AH33" si="0">SUM(C2:AG2)</f>
        <v>13614</v>
      </c>
    </row>
    <row r="3" spans="1:34" x14ac:dyDescent="0.25">
      <c r="A3" s="48" t="s">
        <v>104</v>
      </c>
      <c r="B3" s="71">
        <v>15</v>
      </c>
      <c r="C3" s="10">
        <v>500</v>
      </c>
      <c r="D3" s="10"/>
      <c r="E3" s="10">
        <v>274</v>
      </c>
      <c r="F3" s="10"/>
      <c r="G3" s="10"/>
      <c r="H3" s="10">
        <v>3000</v>
      </c>
      <c r="I3" s="10"/>
      <c r="J3" s="10"/>
      <c r="K3" s="10"/>
      <c r="L3" s="10">
        <v>2035</v>
      </c>
      <c r="M3" s="10">
        <v>1500</v>
      </c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  <c r="AA3" s="10"/>
      <c r="AB3" s="10"/>
      <c r="AC3" s="10"/>
      <c r="AD3" s="10"/>
      <c r="AE3" s="10"/>
      <c r="AF3" s="10"/>
      <c r="AG3" s="10"/>
      <c r="AH3" s="44">
        <f t="shared" si="0"/>
        <v>7309</v>
      </c>
    </row>
    <row r="4" spans="1:34" x14ac:dyDescent="0.25">
      <c r="A4" s="48" t="s">
        <v>104</v>
      </c>
      <c r="B4" s="71">
        <v>16</v>
      </c>
      <c r="C4" s="10">
        <v>214</v>
      </c>
      <c r="D4" s="10">
        <v>671</v>
      </c>
      <c r="E4" s="10">
        <v>3033.4</v>
      </c>
      <c r="F4" s="10">
        <v>2656</v>
      </c>
      <c r="G4" s="10"/>
      <c r="H4" s="10"/>
      <c r="I4" s="10">
        <v>1000</v>
      </c>
      <c r="J4" s="10">
        <v>1447.6</v>
      </c>
      <c r="K4" s="10">
        <v>5909.3</v>
      </c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  <c r="AA4" s="10"/>
      <c r="AB4" s="10"/>
      <c r="AC4" s="10"/>
      <c r="AD4" s="10"/>
      <c r="AE4" s="10"/>
      <c r="AF4" s="10"/>
      <c r="AG4" s="10"/>
      <c r="AH4" s="44">
        <f t="shared" si="0"/>
        <v>14931.3</v>
      </c>
    </row>
    <row r="5" spans="1:34" x14ac:dyDescent="0.25">
      <c r="A5" s="48" t="s">
        <v>104</v>
      </c>
      <c r="B5" s="71">
        <v>17</v>
      </c>
      <c r="C5" s="10">
        <v>1554</v>
      </c>
      <c r="D5" s="10">
        <v>576</v>
      </c>
      <c r="E5" s="10">
        <v>4155.5</v>
      </c>
      <c r="F5" s="10">
        <v>1121.9000000000001</v>
      </c>
      <c r="G5" s="10">
        <v>1252</v>
      </c>
      <c r="H5" s="10">
        <v>473</v>
      </c>
      <c r="I5" s="10">
        <v>2892</v>
      </c>
      <c r="J5" s="10">
        <v>1427</v>
      </c>
      <c r="K5" s="10">
        <v>1765.5</v>
      </c>
      <c r="L5" s="10">
        <v>2561</v>
      </c>
      <c r="M5" s="10">
        <v>627</v>
      </c>
      <c r="N5" s="10">
        <v>456</v>
      </c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  <c r="AA5" s="10"/>
      <c r="AB5" s="10"/>
      <c r="AC5" s="10"/>
      <c r="AD5" s="10"/>
      <c r="AE5" s="10"/>
      <c r="AF5" s="10"/>
      <c r="AG5" s="10"/>
      <c r="AH5" s="44">
        <f t="shared" si="0"/>
        <v>18860.900000000001</v>
      </c>
    </row>
    <row r="6" spans="1:34" x14ac:dyDescent="0.25">
      <c r="A6" s="48" t="s">
        <v>104</v>
      </c>
      <c r="B6" s="71">
        <v>18</v>
      </c>
      <c r="C6" s="10">
        <v>101</v>
      </c>
      <c r="D6" s="10"/>
      <c r="E6" s="10">
        <v>22</v>
      </c>
      <c r="F6" s="10"/>
      <c r="G6" s="10">
        <v>329</v>
      </c>
      <c r="H6" s="10"/>
      <c r="I6" s="10"/>
      <c r="J6" s="10"/>
      <c r="K6" s="10"/>
      <c r="L6" s="10">
        <v>644</v>
      </c>
      <c r="M6" s="10">
        <v>40</v>
      </c>
      <c r="N6" s="10">
        <v>610</v>
      </c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  <c r="AA6" s="10"/>
      <c r="AB6" s="10"/>
      <c r="AC6" s="10"/>
      <c r="AD6" s="10"/>
      <c r="AE6" s="10"/>
      <c r="AF6" s="10"/>
      <c r="AG6" s="10"/>
      <c r="AH6" s="44">
        <f t="shared" si="0"/>
        <v>1746</v>
      </c>
    </row>
    <row r="7" spans="1:34" x14ac:dyDescent="0.25">
      <c r="A7" s="48" t="s">
        <v>104</v>
      </c>
      <c r="B7" s="71">
        <v>19</v>
      </c>
      <c r="C7" s="10"/>
      <c r="D7" s="10"/>
      <c r="E7" s="10"/>
      <c r="F7" s="10"/>
      <c r="G7" s="10"/>
      <c r="H7" s="10">
        <v>500</v>
      </c>
      <c r="I7" s="10">
        <v>3211</v>
      </c>
      <c r="J7" s="10">
        <v>1690</v>
      </c>
      <c r="K7" s="10"/>
      <c r="L7" s="10"/>
      <c r="M7" s="10">
        <v>125</v>
      </c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  <c r="AA7" s="10"/>
      <c r="AB7" s="10"/>
      <c r="AC7" s="10"/>
      <c r="AD7" s="10"/>
      <c r="AE7" s="10"/>
      <c r="AF7" s="10"/>
      <c r="AG7" s="10"/>
      <c r="AH7" s="44">
        <f t="shared" si="0"/>
        <v>5526</v>
      </c>
    </row>
    <row r="8" spans="1:34" x14ac:dyDescent="0.25">
      <c r="A8" s="48" t="s">
        <v>104</v>
      </c>
      <c r="B8" s="71">
        <v>20</v>
      </c>
      <c r="C8" s="10"/>
      <c r="D8" s="10"/>
      <c r="E8" s="10"/>
      <c r="F8" s="10"/>
      <c r="G8" s="10"/>
      <c r="H8" s="10"/>
      <c r="I8" s="10">
        <v>485.2</v>
      </c>
      <c r="J8" s="10">
        <v>123</v>
      </c>
      <c r="K8" s="10"/>
      <c r="L8" s="10"/>
      <c r="M8" s="10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  <c r="Z8" s="10"/>
      <c r="AA8" s="10"/>
      <c r="AB8" s="10"/>
      <c r="AC8" s="10"/>
      <c r="AD8" s="10"/>
      <c r="AE8" s="10"/>
      <c r="AF8" s="10"/>
      <c r="AG8" s="10"/>
      <c r="AH8" s="44">
        <f t="shared" si="0"/>
        <v>608.20000000000005</v>
      </c>
    </row>
    <row r="9" spans="1:34" x14ac:dyDescent="0.25">
      <c r="A9" s="48" t="s">
        <v>104</v>
      </c>
      <c r="B9" s="71">
        <v>21</v>
      </c>
      <c r="C9" s="10"/>
      <c r="D9" s="10"/>
      <c r="E9" s="10"/>
      <c r="F9" s="10">
        <v>1393</v>
      </c>
      <c r="G9" s="10"/>
      <c r="H9" s="10"/>
      <c r="I9" s="10"/>
      <c r="J9" s="10">
        <v>100</v>
      </c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  <c r="AA9" s="10"/>
      <c r="AB9" s="10"/>
      <c r="AC9" s="10"/>
      <c r="AD9" s="10"/>
      <c r="AE9" s="10"/>
      <c r="AF9" s="10"/>
      <c r="AG9" s="10"/>
      <c r="AH9" s="44">
        <f t="shared" si="0"/>
        <v>1493</v>
      </c>
    </row>
    <row r="10" spans="1:34" x14ac:dyDescent="0.25">
      <c r="A10" s="48" t="s">
        <v>104</v>
      </c>
      <c r="B10" s="71">
        <v>23</v>
      </c>
      <c r="C10" s="10">
        <v>19264</v>
      </c>
      <c r="D10" s="10">
        <v>25785.4</v>
      </c>
      <c r="E10" s="10">
        <v>6761</v>
      </c>
      <c r="F10" s="10">
        <v>5064</v>
      </c>
      <c r="G10" s="10">
        <v>4831.3999999999996</v>
      </c>
      <c r="H10" s="10">
        <v>20071</v>
      </c>
      <c r="I10" s="10">
        <v>12227</v>
      </c>
      <c r="J10" s="10">
        <v>14294.1</v>
      </c>
      <c r="K10" s="10">
        <v>16926</v>
      </c>
      <c r="L10" s="10">
        <v>6308</v>
      </c>
      <c r="M10" s="10">
        <v>13725.4</v>
      </c>
      <c r="N10" s="10">
        <v>31386</v>
      </c>
      <c r="O10" s="10"/>
      <c r="P10" s="10"/>
      <c r="Q10" s="10"/>
      <c r="R10" s="10"/>
      <c r="S10" s="10"/>
      <c r="T10" s="10"/>
      <c r="U10" s="10"/>
      <c r="V10" s="10"/>
      <c r="W10" s="10"/>
      <c r="X10" s="10"/>
      <c r="Y10" s="10"/>
      <c r="Z10" s="10"/>
      <c r="AA10" s="10"/>
      <c r="AB10" s="10"/>
      <c r="AC10" s="10"/>
      <c r="AD10" s="10"/>
      <c r="AE10" s="10"/>
      <c r="AF10" s="10"/>
      <c r="AG10" s="10"/>
      <c r="AH10" s="44">
        <f t="shared" si="0"/>
        <v>176643.30000000002</v>
      </c>
    </row>
    <row r="11" spans="1:34" x14ac:dyDescent="0.25">
      <c r="A11" s="48" t="s">
        <v>104</v>
      </c>
      <c r="B11" s="71">
        <v>24</v>
      </c>
      <c r="C11" s="10"/>
      <c r="D11" s="10">
        <v>415</v>
      </c>
      <c r="E11" s="10"/>
      <c r="F11" s="10"/>
      <c r="G11" s="10"/>
      <c r="H11" s="10">
        <v>4800</v>
      </c>
      <c r="I11" s="10"/>
      <c r="J11" s="10"/>
      <c r="K11" s="10"/>
      <c r="L11" s="10"/>
      <c r="M11" s="10">
        <v>6844.4</v>
      </c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  <c r="AF11" s="10"/>
      <c r="AG11" s="10"/>
      <c r="AH11" s="44">
        <f t="shared" si="0"/>
        <v>12059.4</v>
      </c>
    </row>
    <row r="12" spans="1:34" x14ac:dyDescent="0.25">
      <c r="A12" s="48" t="s">
        <v>104</v>
      </c>
      <c r="B12" s="71">
        <v>25</v>
      </c>
      <c r="C12" s="10">
        <v>1554.4</v>
      </c>
      <c r="D12" s="10">
        <v>4394.59</v>
      </c>
      <c r="E12" s="10">
        <v>5879.29</v>
      </c>
      <c r="F12" s="10">
        <v>1083</v>
      </c>
      <c r="G12" s="10">
        <v>1580</v>
      </c>
      <c r="H12" s="10">
        <v>933</v>
      </c>
      <c r="I12" s="10">
        <v>6909.79</v>
      </c>
      <c r="J12" s="10">
        <v>545</v>
      </c>
      <c r="K12" s="10">
        <v>3373.1</v>
      </c>
      <c r="L12" s="10">
        <v>1434</v>
      </c>
      <c r="M12" s="10">
        <v>23390</v>
      </c>
      <c r="N12" s="10">
        <v>250</v>
      </c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  <c r="AA12" s="10"/>
      <c r="AB12" s="10"/>
      <c r="AC12" s="10"/>
      <c r="AD12" s="10"/>
      <c r="AE12" s="10"/>
      <c r="AF12" s="10"/>
      <c r="AG12" s="10"/>
      <c r="AH12" s="44">
        <f t="shared" si="0"/>
        <v>51326.17</v>
      </c>
    </row>
    <row r="13" spans="1:34" x14ac:dyDescent="0.25">
      <c r="A13" s="48" t="s">
        <v>104</v>
      </c>
      <c r="B13" s="71">
        <v>26</v>
      </c>
      <c r="C13" s="10">
        <v>638.70000000000005</v>
      </c>
      <c r="D13" s="10"/>
      <c r="E13" s="10"/>
      <c r="F13" s="10"/>
      <c r="G13" s="10">
        <v>1800</v>
      </c>
      <c r="H13" s="10">
        <v>182</v>
      </c>
      <c r="I13" s="10">
        <v>400</v>
      </c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  <c r="AA13" s="10"/>
      <c r="AB13" s="10"/>
      <c r="AC13" s="10"/>
      <c r="AD13" s="10"/>
      <c r="AE13" s="10"/>
      <c r="AF13" s="10"/>
      <c r="AG13" s="10"/>
      <c r="AH13" s="44">
        <f t="shared" si="0"/>
        <v>3020.7</v>
      </c>
    </row>
    <row r="14" spans="1:34" x14ac:dyDescent="0.25">
      <c r="A14" s="48" t="s">
        <v>104</v>
      </c>
      <c r="B14" s="71">
        <v>27</v>
      </c>
      <c r="C14" s="10"/>
      <c r="D14" s="10"/>
      <c r="E14" s="10"/>
      <c r="F14" s="10"/>
      <c r="G14" s="10"/>
      <c r="H14" s="10"/>
      <c r="I14" s="10">
        <v>870</v>
      </c>
      <c r="J14" s="10">
        <v>1123</v>
      </c>
      <c r="K14" s="10">
        <v>2581</v>
      </c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  <c r="AF14" s="10"/>
      <c r="AG14" s="10"/>
      <c r="AH14" s="44">
        <f t="shared" si="0"/>
        <v>4574</v>
      </c>
    </row>
    <row r="15" spans="1:34" x14ac:dyDescent="0.25">
      <c r="A15" s="48" t="s">
        <v>104</v>
      </c>
      <c r="B15" s="71">
        <v>28</v>
      </c>
      <c r="C15" s="10">
        <v>895</v>
      </c>
      <c r="D15" s="10"/>
      <c r="E15" s="10"/>
      <c r="F15" s="10"/>
      <c r="G15" s="10"/>
      <c r="H15" s="10">
        <v>2542</v>
      </c>
      <c r="I15" s="10">
        <v>1749.9</v>
      </c>
      <c r="J15" s="10">
        <v>1813</v>
      </c>
      <c r="K15" s="10"/>
      <c r="L15" s="10"/>
      <c r="M15" s="10">
        <v>822</v>
      </c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/>
      <c r="AE15" s="10"/>
      <c r="AF15" s="10"/>
      <c r="AG15" s="10"/>
      <c r="AH15" s="44">
        <f t="shared" si="0"/>
        <v>7821.9</v>
      </c>
    </row>
    <row r="16" spans="1:34" x14ac:dyDescent="0.25">
      <c r="A16" s="48" t="s">
        <v>104</v>
      </c>
      <c r="B16" s="71">
        <v>29</v>
      </c>
      <c r="C16" s="10">
        <v>64727.69998779297</v>
      </c>
      <c r="D16" s="10">
        <v>29630</v>
      </c>
      <c r="E16" s="10">
        <v>17006.2</v>
      </c>
      <c r="F16" s="10">
        <v>1040</v>
      </c>
      <c r="G16" s="10">
        <v>2005</v>
      </c>
      <c r="H16" s="10">
        <v>15975</v>
      </c>
      <c r="I16" s="10">
        <v>570</v>
      </c>
      <c r="J16" s="10">
        <v>2866</v>
      </c>
      <c r="K16" s="10">
        <v>3357</v>
      </c>
      <c r="L16" s="10">
        <v>700</v>
      </c>
      <c r="M16" s="10">
        <v>542</v>
      </c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0"/>
      <c r="AD16" s="10"/>
      <c r="AE16" s="10"/>
      <c r="AF16" s="10"/>
      <c r="AG16" s="10"/>
      <c r="AH16" s="44">
        <f t="shared" si="0"/>
        <v>138418.89998779295</v>
      </c>
    </row>
    <row r="17" spans="1:34" x14ac:dyDescent="0.25">
      <c r="A17" s="48" t="s">
        <v>104</v>
      </c>
      <c r="B17" s="71">
        <v>30</v>
      </c>
      <c r="C17" s="10">
        <v>300</v>
      </c>
      <c r="D17" s="10"/>
      <c r="E17" s="10"/>
      <c r="F17" s="10"/>
      <c r="G17" s="10"/>
      <c r="H17" s="10"/>
      <c r="I17" s="10"/>
      <c r="J17" s="10">
        <v>357</v>
      </c>
      <c r="K17" s="10"/>
      <c r="L17" s="10"/>
      <c r="M17" s="10">
        <v>465</v>
      </c>
      <c r="N17" s="10">
        <v>859</v>
      </c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/>
      <c r="AD17" s="10"/>
      <c r="AE17" s="10"/>
      <c r="AF17" s="10"/>
      <c r="AG17" s="10"/>
      <c r="AH17" s="44">
        <f t="shared" si="0"/>
        <v>1981</v>
      </c>
    </row>
    <row r="18" spans="1:34" x14ac:dyDescent="0.25">
      <c r="A18" s="48" t="s">
        <v>104</v>
      </c>
      <c r="B18" s="71">
        <v>31</v>
      </c>
      <c r="C18" s="10"/>
      <c r="D18" s="10">
        <v>106</v>
      </c>
      <c r="E18" s="10">
        <v>844</v>
      </c>
      <c r="F18" s="10"/>
      <c r="G18" s="10"/>
      <c r="H18" s="10"/>
      <c r="I18" s="10">
        <v>2563</v>
      </c>
      <c r="J18" s="10"/>
      <c r="K18" s="10"/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  <c r="AC18" s="10"/>
      <c r="AD18" s="10"/>
      <c r="AE18" s="10"/>
      <c r="AF18" s="10"/>
      <c r="AG18" s="10"/>
      <c r="AH18" s="44">
        <f t="shared" si="0"/>
        <v>3513</v>
      </c>
    </row>
    <row r="19" spans="1:34" x14ac:dyDescent="0.25">
      <c r="A19" s="48" t="s">
        <v>104</v>
      </c>
      <c r="B19" s="71">
        <v>32</v>
      </c>
      <c r="C19" s="10">
        <v>2014</v>
      </c>
      <c r="D19" s="10">
        <v>1639</v>
      </c>
      <c r="E19" s="10"/>
      <c r="F19" s="10">
        <v>692</v>
      </c>
      <c r="G19" s="10">
        <v>1772.9</v>
      </c>
      <c r="H19" s="10"/>
      <c r="I19" s="10">
        <v>1013.8</v>
      </c>
      <c r="J19" s="10"/>
      <c r="K19" s="10">
        <v>550</v>
      </c>
      <c r="L19" s="10">
        <v>234</v>
      </c>
      <c r="M19" s="10">
        <v>270</v>
      </c>
      <c r="N19" s="10">
        <v>600</v>
      </c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0"/>
      <c r="AE19" s="10"/>
      <c r="AF19" s="10"/>
      <c r="AG19" s="10"/>
      <c r="AH19" s="44">
        <f t="shared" si="0"/>
        <v>8785.7000000000007</v>
      </c>
    </row>
    <row r="20" spans="1:34" x14ac:dyDescent="0.25">
      <c r="A20" s="48" t="s">
        <v>104</v>
      </c>
      <c r="B20" s="71">
        <v>33</v>
      </c>
      <c r="C20" s="10">
        <v>500</v>
      </c>
      <c r="D20" s="10">
        <v>4783.3</v>
      </c>
      <c r="E20" s="10">
        <v>800</v>
      </c>
      <c r="F20" s="10">
        <v>1030</v>
      </c>
      <c r="G20" s="10"/>
      <c r="H20" s="10">
        <v>555</v>
      </c>
      <c r="I20" s="10">
        <v>737</v>
      </c>
      <c r="J20" s="10">
        <v>5215</v>
      </c>
      <c r="K20" s="10"/>
      <c r="L20" s="10">
        <v>1192</v>
      </c>
      <c r="M20" s="10">
        <v>543</v>
      </c>
      <c r="N20" s="10"/>
      <c r="O20" s="10"/>
      <c r="P20" s="10"/>
      <c r="Q20" s="10"/>
      <c r="R20" s="10"/>
      <c r="S20" s="10"/>
      <c r="T20" s="10"/>
      <c r="U20" s="10"/>
      <c r="V20" s="10"/>
      <c r="W20" s="10"/>
      <c r="X20" s="10"/>
      <c r="Y20" s="10"/>
      <c r="Z20" s="10"/>
      <c r="AA20" s="10"/>
      <c r="AB20" s="10"/>
      <c r="AC20" s="10"/>
      <c r="AD20" s="10"/>
      <c r="AE20" s="10"/>
      <c r="AF20" s="10"/>
      <c r="AG20" s="10"/>
      <c r="AH20" s="44">
        <f t="shared" si="0"/>
        <v>15355.3</v>
      </c>
    </row>
    <row r="21" spans="1:34" x14ac:dyDescent="0.25">
      <c r="A21" s="48" t="s">
        <v>104</v>
      </c>
      <c r="B21" s="71">
        <v>34</v>
      </c>
      <c r="C21" s="10">
        <v>1280</v>
      </c>
      <c r="D21" s="10">
        <v>7298</v>
      </c>
      <c r="E21" s="10">
        <v>222</v>
      </c>
      <c r="F21" s="10">
        <v>200</v>
      </c>
      <c r="G21" s="10">
        <v>230</v>
      </c>
      <c r="H21" s="10">
        <v>15610</v>
      </c>
      <c r="I21" s="10">
        <v>10221.700000000001</v>
      </c>
      <c r="J21" s="10">
        <v>5886</v>
      </c>
      <c r="K21" s="10">
        <v>5890</v>
      </c>
      <c r="L21" s="10">
        <v>3500</v>
      </c>
      <c r="M21" s="10">
        <v>146</v>
      </c>
      <c r="N21" s="10">
        <v>20170</v>
      </c>
      <c r="O21" s="10"/>
      <c r="P21" s="10"/>
      <c r="Q21" s="10"/>
      <c r="R21" s="10"/>
      <c r="S21" s="10"/>
      <c r="T21" s="10"/>
      <c r="U21" s="10"/>
      <c r="V21" s="10"/>
      <c r="W21" s="10"/>
      <c r="X21" s="10"/>
      <c r="Y21" s="10"/>
      <c r="Z21" s="10"/>
      <c r="AA21" s="10"/>
      <c r="AB21" s="10"/>
      <c r="AC21" s="10"/>
      <c r="AD21" s="10"/>
      <c r="AE21" s="10"/>
      <c r="AF21" s="10"/>
      <c r="AG21" s="10"/>
      <c r="AH21" s="44">
        <f t="shared" si="0"/>
        <v>70653.7</v>
      </c>
    </row>
    <row r="22" spans="1:34" x14ac:dyDescent="0.25">
      <c r="A22" s="48" t="s">
        <v>104</v>
      </c>
      <c r="B22" s="71">
        <v>35</v>
      </c>
      <c r="C22" s="10">
        <v>22178</v>
      </c>
      <c r="D22" s="10">
        <v>14367</v>
      </c>
      <c r="E22" s="10">
        <v>14330</v>
      </c>
      <c r="F22" s="10">
        <v>14929</v>
      </c>
      <c r="G22" s="10"/>
      <c r="H22" s="10">
        <v>15595</v>
      </c>
      <c r="I22" s="10">
        <v>6240.5</v>
      </c>
      <c r="J22" s="10">
        <v>1880</v>
      </c>
      <c r="K22" s="10"/>
      <c r="L22" s="10">
        <v>6950</v>
      </c>
      <c r="M22" s="10">
        <v>2033</v>
      </c>
      <c r="N22" s="10">
        <v>800</v>
      </c>
      <c r="O22" s="10"/>
      <c r="P22" s="10"/>
      <c r="Q22" s="10"/>
      <c r="R22" s="10"/>
      <c r="S22" s="10"/>
      <c r="T22" s="10"/>
      <c r="U22" s="10"/>
      <c r="V22" s="10"/>
      <c r="W22" s="10"/>
      <c r="X22" s="10"/>
      <c r="Y22" s="10"/>
      <c r="Z22" s="10"/>
      <c r="AA22" s="10"/>
      <c r="AB22" s="10"/>
      <c r="AC22" s="10"/>
      <c r="AD22" s="10"/>
      <c r="AE22" s="10"/>
      <c r="AF22" s="10"/>
      <c r="AG22" s="10"/>
      <c r="AH22" s="44">
        <f t="shared" si="0"/>
        <v>99302.5</v>
      </c>
    </row>
    <row r="23" spans="1:34" x14ac:dyDescent="0.25">
      <c r="A23" s="48" t="s">
        <v>104</v>
      </c>
      <c r="B23" s="71">
        <v>36</v>
      </c>
      <c r="C23" s="10">
        <v>108</v>
      </c>
      <c r="D23" s="10"/>
      <c r="E23" s="10">
        <v>2534</v>
      </c>
      <c r="F23" s="10">
        <v>191</v>
      </c>
      <c r="G23" s="10">
        <v>3734</v>
      </c>
      <c r="H23" s="10">
        <v>1986</v>
      </c>
      <c r="I23" s="10">
        <v>1538.2</v>
      </c>
      <c r="J23" s="10">
        <v>1817</v>
      </c>
      <c r="K23" s="10">
        <v>1149.0999999999999</v>
      </c>
      <c r="L23" s="10">
        <v>2099</v>
      </c>
      <c r="M23" s="10">
        <v>1791</v>
      </c>
      <c r="N23" s="10">
        <v>1804.1</v>
      </c>
      <c r="O23" s="10"/>
      <c r="P23" s="10"/>
      <c r="Q23" s="10"/>
      <c r="R23" s="10"/>
      <c r="S23" s="10"/>
      <c r="T23" s="10"/>
      <c r="U23" s="10"/>
      <c r="V23" s="10"/>
      <c r="W23" s="10"/>
      <c r="X23" s="10"/>
      <c r="Y23" s="10"/>
      <c r="Z23" s="10"/>
      <c r="AA23" s="10"/>
      <c r="AB23" s="10"/>
      <c r="AC23" s="10"/>
      <c r="AD23" s="10"/>
      <c r="AE23" s="10"/>
      <c r="AF23" s="10"/>
      <c r="AG23" s="10"/>
      <c r="AH23" s="44">
        <f t="shared" si="0"/>
        <v>18751.400000000001</v>
      </c>
    </row>
    <row r="24" spans="1:34" x14ac:dyDescent="0.25">
      <c r="A24" s="48" t="s">
        <v>104</v>
      </c>
      <c r="B24" s="71">
        <v>37</v>
      </c>
      <c r="C24" s="10">
        <v>7100</v>
      </c>
      <c r="D24" s="10">
        <v>5880</v>
      </c>
      <c r="E24" s="10">
        <v>500</v>
      </c>
      <c r="F24" s="10">
        <v>3300</v>
      </c>
      <c r="G24" s="10"/>
      <c r="H24" s="10">
        <v>21314</v>
      </c>
      <c r="I24" s="10">
        <v>19159</v>
      </c>
      <c r="J24" s="10">
        <v>12238</v>
      </c>
      <c r="K24" s="10">
        <v>17090</v>
      </c>
      <c r="L24" s="10">
        <v>5700</v>
      </c>
      <c r="M24" s="10">
        <v>2815</v>
      </c>
      <c r="N24" s="10"/>
      <c r="O24" s="10"/>
      <c r="P24" s="10"/>
      <c r="Q24" s="10"/>
      <c r="R24" s="10"/>
      <c r="S24" s="10"/>
      <c r="T24" s="10"/>
      <c r="U24" s="10"/>
      <c r="V24" s="10"/>
      <c r="W24" s="10"/>
      <c r="X24" s="10"/>
      <c r="Y24" s="10"/>
      <c r="Z24" s="10"/>
      <c r="AA24" s="10"/>
      <c r="AB24" s="10"/>
      <c r="AC24" s="10"/>
      <c r="AD24" s="10"/>
      <c r="AE24" s="10"/>
      <c r="AF24" s="10"/>
      <c r="AG24" s="10"/>
      <c r="AH24" s="44">
        <f t="shared" si="0"/>
        <v>95096</v>
      </c>
    </row>
    <row r="25" spans="1:34" x14ac:dyDescent="0.25">
      <c r="A25" s="48" t="s">
        <v>104</v>
      </c>
      <c r="B25" s="71">
        <v>39</v>
      </c>
      <c r="C25" s="10">
        <v>36932</v>
      </c>
      <c r="D25" s="10">
        <v>37991.599999999999</v>
      </c>
      <c r="E25" s="10">
        <v>4445.5</v>
      </c>
      <c r="F25" s="10">
        <v>11287</v>
      </c>
      <c r="G25" s="10"/>
      <c r="H25" s="10">
        <v>24889</v>
      </c>
      <c r="I25" s="10">
        <v>36008</v>
      </c>
      <c r="J25" s="10">
        <v>32117.7</v>
      </c>
      <c r="K25" s="10">
        <v>24612.6</v>
      </c>
      <c r="L25" s="10">
        <v>25073.4</v>
      </c>
      <c r="M25" s="10">
        <v>23450</v>
      </c>
      <c r="N25" s="10">
        <v>5475</v>
      </c>
      <c r="O25" s="10"/>
      <c r="P25" s="10"/>
      <c r="Q25" s="10"/>
      <c r="R25" s="10"/>
      <c r="S25" s="10"/>
      <c r="T25" s="10"/>
      <c r="U25" s="10"/>
      <c r="V25" s="10"/>
      <c r="W25" s="10"/>
      <c r="X25" s="10"/>
      <c r="Y25" s="10"/>
      <c r="Z25" s="10"/>
      <c r="AA25" s="10"/>
      <c r="AB25" s="10"/>
      <c r="AC25" s="10"/>
      <c r="AD25" s="10"/>
      <c r="AE25" s="10"/>
      <c r="AF25" s="10"/>
      <c r="AG25" s="10"/>
      <c r="AH25" s="44">
        <f t="shared" si="0"/>
        <v>262281.80000000005</v>
      </c>
    </row>
    <row r="26" spans="1:34" x14ac:dyDescent="0.25">
      <c r="A26" s="48" t="s">
        <v>104</v>
      </c>
      <c r="B26" s="71">
        <v>40</v>
      </c>
      <c r="C26" s="10">
        <v>37481.599999999999</v>
      </c>
      <c r="D26" s="10">
        <v>39042</v>
      </c>
      <c r="E26" s="10">
        <v>30402.6</v>
      </c>
      <c r="F26" s="10">
        <v>15180.4</v>
      </c>
      <c r="G26" s="10">
        <v>16721.599999999999</v>
      </c>
      <c r="H26" s="10">
        <v>82394.3</v>
      </c>
      <c r="I26" s="10">
        <v>71350.169999999984</v>
      </c>
      <c r="J26" s="10">
        <v>81210.190000000017</v>
      </c>
      <c r="K26" s="10">
        <v>99438.10000000002</v>
      </c>
      <c r="L26" s="10">
        <v>43533.1</v>
      </c>
      <c r="M26" s="10">
        <v>29107</v>
      </c>
      <c r="N26" s="10">
        <v>26571.8</v>
      </c>
      <c r="O26" s="10"/>
      <c r="P26" s="10"/>
      <c r="Q26" s="10"/>
      <c r="R26" s="10"/>
      <c r="S26" s="10"/>
      <c r="T26" s="10"/>
      <c r="U26" s="10"/>
      <c r="V26" s="10"/>
      <c r="W26" s="10"/>
      <c r="X26" s="10"/>
      <c r="Y26" s="10"/>
      <c r="Z26" s="10"/>
      <c r="AA26" s="10"/>
      <c r="AB26" s="10"/>
      <c r="AC26" s="10"/>
      <c r="AD26" s="10"/>
      <c r="AE26" s="10"/>
      <c r="AF26" s="10"/>
      <c r="AG26" s="10"/>
      <c r="AH26" s="44">
        <f t="shared" si="0"/>
        <v>572432.8600000001</v>
      </c>
    </row>
    <row r="27" spans="1:34" x14ac:dyDescent="0.25">
      <c r="A27" s="48" t="s">
        <v>104</v>
      </c>
      <c r="B27" s="71">
        <v>41</v>
      </c>
      <c r="C27" s="10">
        <v>104814.9</v>
      </c>
      <c r="D27" s="10">
        <v>54877</v>
      </c>
      <c r="E27" s="10">
        <v>41779.699999999997</v>
      </c>
      <c r="F27" s="10">
        <v>48396</v>
      </c>
      <c r="G27" s="10">
        <v>5640.2</v>
      </c>
      <c r="H27" s="10">
        <v>91234.2</v>
      </c>
      <c r="I27" s="10">
        <v>307198.49000000005</v>
      </c>
      <c r="J27" s="10">
        <v>129172.102</v>
      </c>
      <c r="K27" s="10">
        <v>105568.8</v>
      </c>
      <c r="L27" s="10">
        <v>76647.5</v>
      </c>
      <c r="M27" s="10">
        <v>63910.299999999996</v>
      </c>
      <c r="N27" s="10">
        <v>20588.400000000001</v>
      </c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10"/>
      <c r="Z27" s="10"/>
      <c r="AA27" s="10"/>
      <c r="AB27" s="10"/>
      <c r="AC27" s="10"/>
      <c r="AD27" s="10"/>
      <c r="AE27" s="10"/>
      <c r="AF27" s="10"/>
      <c r="AG27" s="10"/>
      <c r="AH27" s="44">
        <f t="shared" si="0"/>
        <v>1049827.5919999999</v>
      </c>
    </row>
    <row r="28" spans="1:34" x14ac:dyDescent="0.25">
      <c r="A28" s="48" t="s">
        <v>105</v>
      </c>
      <c r="B28" s="71">
        <v>42</v>
      </c>
      <c r="C28" s="10">
        <v>33038.5</v>
      </c>
      <c r="D28" s="10">
        <v>23759.1</v>
      </c>
      <c r="E28" s="10">
        <v>29204.2</v>
      </c>
      <c r="F28" s="10">
        <v>19281.600000000002</v>
      </c>
      <c r="G28" s="10">
        <v>9317.9</v>
      </c>
      <c r="H28" s="10">
        <v>68855.3</v>
      </c>
      <c r="I28" s="10">
        <v>93989.499999999985</v>
      </c>
      <c r="J28" s="10">
        <v>64963.799999999996</v>
      </c>
      <c r="K28" s="10">
        <v>83322.3</v>
      </c>
      <c r="L28" s="10">
        <v>70768.800000000003</v>
      </c>
      <c r="M28" s="10">
        <v>30157.7</v>
      </c>
      <c r="N28" s="10">
        <v>9421.7000000000007</v>
      </c>
      <c r="O28" s="10"/>
      <c r="P28" s="10"/>
      <c r="Q28" s="10"/>
      <c r="R28" s="10"/>
      <c r="S28" s="10"/>
      <c r="T28" s="10"/>
      <c r="U28" s="10"/>
      <c r="V28" s="10"/>
      <c r="W28" s="10"/>
      <c r="X28" s="10"/>
      <c r="Y28" s="10"/>
      <c r="Z28" s="10"/>
      <c r="AA28" s="10"/>
      <c r="AB28" s="10"/>
      <c r="AC28" s="10"/>
      <c r="AD28" s="10"/>
      <c r="AE28" s="10"/>
      <c r="AF28" s="10"/>
      <c r="AG28" s="10"/>
      <c r="AH28" s="44">
        <f t="shared" si="0"/>
        <v>536080.39999999991</v>
      </c>
    </row>
    <row r="29" spans="1:34" x14ac:dyDescent="0.25">
      <c r="A29" s="48" t="s">
        <v>105</v>
      </c>
      <c r="B29" s="71">
        <v>43</v>
      </c>
      <c r="C29" s="10">
        <v>223702.90000000002</v>
      </c>
      <c r="D29" s="10">
        <v>195744.7</v>
      </c>
      <c r="E29" s="10">
        <v>189971.49999999997</v>
      </c>
      <c r="F29" s="10">
        <v>19704</v>
      </c>
      <c r="G29" s="10">
        <v>12824.9</v>
      </c>
      <c r="H29" s="10">
        <v>193188.1</v>
      </c>
      <c r="I29" s="10">
        <v>115971.9</v>
      </c>
      <c r="J29" s="10">
        <v>100794.8</v>
      </c>
      <c r="K29" s="10">
        <v>76808.399999999994</v>
      </c>
      <c r="L29" s="10">
        <v>134843</v>
      </c>
      <c r="M29" s="10">
        <v>72053.3</v>
      </c>
      <c r="N29" s="10">
        <v>61894.2</v>
      </c>
      <c r="O29" s="10"/>
      <c r="P29" s="10"/>
      <c r="Q29" s="10"/>
      <c r="R29" s="10"/>
      <c r="S29" s="10"/>
      <c r="T29" s="10"/>
      <c r="U29" s="10"/>
      <c r="V29" s="10"/>
      <c r="W29" s="10"/>
      <c r="X29" s="10"/>
      <c r="Y29" s="10"/>
      <c r="Z29" s="10"/>
      <c r="AA29" s="10"/>
      <c r="AB29" s="10"/>
      <c r="AC29" s="10"/>
      <c r="AD29" s="10"/>
      <c r="AE29" s="10"/>
      <c r="AF29" s="10"/>
      <c r="AG29" s="10"/>
      <c r="AH29" s="44">
        <f t="shared" si="0"/>
        <v>1397501.7</v>
      </c>
    </row>
    <row r="30" spans="1:34" x14ac:dyDescent="0.25">
      <c r="A30" s="48" t="s">
        <v>105</v>
      </c>
      <c r="B30" s="71">
        <v>44</v>
      </c>
      <c r="C30" s="10">
        <v>35630.5</v>
      </c>
      <c r="D30" s="10">
        <v>41046.400000000009</v>
      </c>
      <c r="E30" s="10">
        <v>42609.5</v>
      </c>
      <c r="F30" s="10">
        <v>12300</v>
      </c>
      <c r="G30" s="10">
        <v>11525</v>
      </c>
      <c r="H30" s="10">
        <v>63611.9</v>
      </c>
      <c r="I30" s="10">
        <v>39809.4</v>
      </c>
      <c r="J30" s="10">
        <v>60996.700000000004</v>
      </c>
      <c r="K30" s="10">
        <v>48801.200000000004</v>
      </c>
      <c r="L30" s="10">
        <v>33169.4</v>
      </c>
      <c r="M30" s="10">
        <v>20494.7</v>
      </c>
      <c r="N30" s="10">
        <v>14047.6</v>
      </c>
      <c r="O30" s="10"/>
      <c r="P30" s="10"/>
      <c r="Q30" s="10"/>
      <c r="R30" s="10"/>
      <c r="S30" s="10"/>
      <c r="T30" s="10"/>
      <c r="U30" s="10"/>
      <c r="V30" s="10"/>
      <c r="W30" s="10"/>
      <c r="X30" s="10"/>
      <c r="Y30" s="10"/>
      <c r="Z30" s="10"/>
      <c r="AA30" s="10"/>
      <c r="AB30" s="10"/>
      <c r="AC30" s="10"/>
      <c r="AD30" s="10"/>
      <c r="AE30" s="10"/>
      <c r="AF30" s="10"/>
      <c r="AG30" s="10"/>
      <c r="AH30" s="44">
        <f t="shared" si="0"/>
        <v>424042.30000000005</v>
      </c>
    </row>
    <row r="31" spans="1:34" x14ac:dyDescent="0.25">
      <c r="A31" s="48" t="s">
        <v>105</v>
      </c>
      <c r="B31" s="71">
        <v>45</v>
      </c>
      <c r="C31" s="10">
        <v>47754.399999999994</v>
      </c>
      <c r="D31" s="10">
        <v>59191</v>
      </c>
      <c r="E31" s="10">
        <v>38328.399999999994</v>
      </c>
      <c r="F31" s="10">
        <v>13748.6</v>
      </c>
      <c r="G31" s="10">
        <v>8990</v>
      </c>
      <c r="H31" s="10">
        <v>60551.1</v>
      </c>
      <c r="I31" s="10">
        <v>26087.200000000001</v>
      </c>
      <c r="J31" s="10">
        <v>55069.8</v>
      </c>
      <c r="K31" s="10">
        <v>61307.59</v>
      </c>
      <c r="L31" s="10">
        <v>24383</v>
      </c>
      <c r="M31" s="10">
        <v>25310</v>
      </c>
      <c r="N31" s="10">
        <v>9901.9</v>
      </c>
      <c r="O31" s="10"/>
      <c r="P31" s="10"/>
      <c r="Q31" s="10"/>
      <c r="R31" s="10"/>
      <c r="S31" s="10"/>
      <c r="T31" s="10"/>
      <c r="U31" s="10"/>
      <c r="V31" s="10"/>
      <c r="W31" s="10"/>
      <c r="X31" s="10"/>
      <c r="Y31" s="10"/>
      <c r="Z31" s="10"/>
      <c r="AA31" s="10"/>
      <c r="AB31" s="10"/>
      <c r="AC31" s="10"/>
      <c r="AD31" s="10"/>
      <c r="AE31" s="10"/>
      <c r="AF31" s="10"/>
      <c r="AG31" s="10"/>
      <c r="AH31" s="44">
        <f t="shared" si="0"/>
        <v>430622.99</v>
      </c>
    </row>
    <row r="32" spans="1:34" x14ac:dyDescent="0.25">
      <c r="A32" s="48" t="s">
        <v>106</v>
      </c>
      <c r="B32" s="71">
        <v>46</v>
      </c>
      <c r="C32" s="10">
        <v>33343.5</v>
      </c>
      <c r="D32" s="10">
        <v>42884.599999999991</v>
      </c>
      <c r="E32" s="10">
        <v>25954.2</v>
      </c>
      <c r="F32" s="10">
        <v>11617</v>
      </c>
      <c r="G32" s="10">
        <v>3734</v>
      </c>
      <c r="H32" s="10">
        <v>41577.9</v>
      </c>
      <c r="I32" s="10">
        <v>34371.1</v>
      </c>
      <c r="J32" s="10">
        <v>19437.789999999997</v>
      </c>
      <c r="K32" s="10">
        <v>59476.9</v>
      </c>
      <c r="L32" s="10">
        <v>16146</v>
      </c>
      <c r="M32" s="10">
        <v>30146.9</v>
      </c>
      <c r="N32" s="10">
        <v>16839.900000000001</v>
      </c>
      <c r="O32" s="10"/>
      <c r="P32" s="10"/>
      <c r="Q32" s="10"/>
      <c r="R32" s="10"/>
      <c r="S32" s="10"/>
      <c r="T32" s="10"/>
      <c r="U32" s="10"/>
      <c r="V32" s="10"/>
      <c r="W32" s="10"/>
      <c r="X32" s="10"/>
      <c r="Y32" s="10"/>
      <c r="Z32" s="10"/>
      <c r="AA32" s="10"/>
      <c r="AB32" s="10"/>
      <c r="AC32" s="10"/>
      <c r="AD32" s="10"/>
      <c r="AE32" s="10"/>
      <c r="AF32" s="10"/>
      <c r="AG32" s="10"/>
      <c r="AH32" s="44">
        <f t="shared" si="0"/>
        <v>335529.79000000004</v>
      </c>
    </row>
    <row r="33" spans="1:34" x14ac:dyDescent="0.25">
      <c r="A33" s="48" t="s">
        <v>106</v>
      </c>
      <c r="B33" s="71">
        <v>47</v>
      </c>
      <c r="C33" s="10">
        <v>38263.5</v>
      </c>
      <c r="D33" s="10">
        <v>55232.4</v>
      </c>
      <c r="E33" s="10">
        <v>34366.6</v>
      </c>
      <c r="F33" s="10">
        <v>22520.3</v>
      </c>
      <c r="G33" s="10">
        <v>15047.9</v>
      </c>
      <c r="H33" s="10">
        <v>89654.1</v>
      </c>
      <c r="I33" s="10">
        <v>82149.089999999982</v>
      </c>
      <c r="J33" s="10">
        <v>132870.70000000001</v>
      </c>
      <c r="K33" s="10">
        <v>127741.40000000001</v>
      </c>
      <c r="L33" s="10">
        <v>86357</v>
      </c>
      <c r="M33" s="10">
        <v>74239.099999999991</v>
      </c>
      <c r="N33" s="10">
        <v>31523.5</v>
      </c>
      <c r="O33" s="10"/>
      <c r="P33" s="10"/>
      <c r="Q33" s="10"/>
      <c r="R33" s="10"/>
      <c r="S33" s="10"/>
      <c r="T33" s="10"/>
      <c r="U33" s="10"/>
      <c r="V33" s="10"/>
      <c r="W33" s="10"/>
      <c r="X33" s="10"/>
      <c r="Y33" s="10"/>
      <c r="Z33" s="10"/>
      <c r="AA33" s="10"/>
      <c r="AB33" s="10"/>
      <c r="AC33" s="10"/>
      <c r="AD33" s="10"/>
      <c r="AE33" s="10"/>
      <c r="AF33" s="10"/>
      <c r="AG33" s="10"/>
      <c r="AH33" s="44">
        <f t="shared" si="0"/>
        <v>789965.59</v>
      </c>
    </row>
    <row r="34" spans="1:34" x14ac:dyDescent="0.25">
      <c r="A34" s="48" t="s">
        <v>106</v>
      </c>
      <c r="B34" s="71">
        <v>48</v>
      </c>
      <c r="C34" s="10">
        <v>31629.599999999999</v>
      </c>
      <c r="D34" s="10">
        <v>68799.5</v>
      </c>
      <c r="E34" s="10">
        <v>20638.8</v>
      </c>
      <c r="F34" s="10">
        <v>7886.4</v>
      </c>
      <c r="G34" s="10">
        <v>7443</v>
      </c>
      <c r="H34" s="10">
        <v>48492.9</v>
      </c>
      <c r="I34" s="10">
        <v>63471.5</v>
      </c>
      <c r="J34" s="10">
        <v>43246.6</v>
      </c>
      <c r="K34" s="10">
        <v>62849.899999999994</v>
      </c>
      <c r="L34" s="10">
        <v>49405.4</v>
      </c>
      <c r="M34" s="10">
        <v>47532.1</v>
      </c>
      <c r="N34" s="10">
        <v>17021.8</v>
      </c>
      <c r="O34" s="10"/>
      <c r="P34" s="10"/>
      <c r="Q34" s="10"/>
      <c r="R34" s="10"/>
      <c r="S34" s="10"/>
      <c r="T34" s="10"/>
      <c r="U34" s="10"/>
      <c r="V34" s="10"/>
      <c r="W34" s="10"/>
      <c r="X34" s="10"/>
      <c r="Y34" s="10"/>
      <c r="Z34" s="10"/>
      <c r="AA34" s="10"/>
      <c r="AB34" s="10"/>
      <c r="AC34" s="10"/>
      <c r="AD34" s="10"/>
      <c r="AE34" s="10"/>
      <c r="AF34" s="10"/>
      <c r="AG34" s="10"/>
      <c r="AH34" s="44">
        <f t="shared" ref="AH34:AH65" si="1">SUM(C34:AG34)</f>
        <v>468417.49999999994</v>
      </c>
    </row>
    <row r="35" spans="1:34" x14ac:dyDescent="0.25">
      <c r="A35" s="48" t="s">
        <v>106</v>
      </c>
      <c r="B35" s="71">
        <v>49</v>
      </c>
      <c r="C35" s="10">
        <v>26061.300000000003</v>
      </c>
      <c r="D35" s="10">
        <v>38423</v>
      </c>
      <c r="E35" s="10">
        <v>33208.1</v>
      </c>
      <c r="F35" s="10">
        <v>9631</v>
      </c>
      <c r="G35" s="10">
        <v>5030</v>
      </c>
      <c r="H35" s="10">
        <v>59559.4</v>
      </c>
      <c r="I35" s="10">
        <v>50697.799999999996</v>
      </c>
      <c r="J35" s="10">
        <v>20327.2</v>
      </c>
      <c r="K35" s="10">
        <v>89586.700000000012</v>
      </c>
      <c r="L35" s="10">
        <v>42330.100000000006</v>
      </c>
      <c r="M35" s="10">
        <v>33472.300000000003</v>
      </c>
      <c r="N35" s="10">
        <v>11670.199999999999</v>
      </c>
      <c r="O35" s="10"/>
      <c r="P35" s="10"/>
      <c r="Q35" s="10"/>
      <c r="R35" s="10"/>
      <c r="S35" s="10"/>
      <c r="T35" s="10"/>
      <c r="U35" s="10"/>
      <c r="V35" s="10"/>
      <c r="W35" s="10"/>
      <c r="X35" s="10"/>
      <c r="Y35" s="10"/>
      <c r="Z35" s="10"/>
      <c r="AA35" s="10"/>
      <c r="AB35" s="10"/>
      <c r="AC35" s="10"/>
      <c r="AD35" s="10"/>
      <c r="AE35" s="10"/>
      <c r="AF35" s="10"/>
      <c r="AG35" s="10"/>
      <c r="AH35" s="44">
        <f t="shared" si="1"/>
        <v>419997.1</v>
      </c>
    </row>
    <row r="36" spans="1:34" x14ac:dyDescent="0.25">
      <c r="A36" s="48" t="s">
        <v>106</v>
      </c>
      <c r="B36" s="71">
        <v>50</v>
      </c>
      <c r="C36" s="10">
        <v>24765.5</v>
      </c>
      <c r="D36" s="10">
        <v>21085.3</v>
      </c>
      <c r="E36" s="10">
        <v>12094</v>
      </c>
      <c r="F36" s="10">
        <v>6249</v>
      </c>
      <c r="G36" s="10">
        <v>3198</v>
      </c>
      <c r="H36" s="10">
        <v>36252</v>
      </c>
      <c r="I36" s="10">
        <v>23054.600000000002</v>
      </c>
      <c r="J36" s="10">
        <v>32378.199999999997</v>
      </c>
      <c r="K36" s="10">
        <v>36060.99</v>
      </c>
      <c r="L36" s="10">
        <v>33766.5</v>
      </c>
      <c r="M36" s="10">
        <v>38611</v>
      </c>
      <c r="N36" s="10">
        <v>4921</v>
      </c>
      <c r="O36" s="10"/>
      <c r="P36" s="10"/>
      <c r="Q36" s="10"/>
      <c r="R36" s="10"/>
      <c r="S36" s="10"/>
      <c r="T36" s="10"/>
      <c r="U36" s="10"/>
      <c r="V36" s="10"/>
      <c r="W36" s="10"/>
      <c r="X36" s="10"/>
      <c r="Y36" s="10"/>
      <c r="Z36" s="10"/>
      <c r="AA36" s="10"/>
      <c r="AB36" s="10"/>
      <c r="AC36" s="10"/>
      <c r="AD36" s="10"/>
      <c r="AE36" s="10"/>
      <c r="AF36" s="10"/>
      <c r="AG36" s="10"/>
      <c r="AH36" s="44">
        <f t="shared" si="1"/>
        <v>272436.08999999997</v>
      </c>
    </row>
    <row r="37" spans="1:34" x14ac:dyDescent="0.25">
      <c r="A37" s="48" t="s">
        <v>106</v>
      </c>
      <c r="B37" s="71">
        <v>51</v>
      </c>
      <c r="C37" s="10">
        <v>25671.69</v>
      </c>
      <c r="D37" s="10">
        <v>25073</v>
      </c>
      <c r="E37" s="10">
        <v>7345</v>
      </c>
      <c r="F37" s="10">
        <v>4328</v>
      </c>
      <c r="G37" s="10">
        <v>2571.9</v>
      </c>
      <c r="H37" s="10">
        <v>42520</v>
      </c>
      <c r="I37" s="10">
        <v>32544.799999999999</v>
      </c>
      <c r="J37" s="10">
        <v>51656.800000000003</v>
      </c>
      <c r="K37" s="10">
        <v>32973.4</v>
      </c>
      <c r="L37" s="10">
        <v>22212.3</v>
      </c>
      <c r="M37" s="10">
        <v>14141.3</v>
      </c>
      <c r="N37" s="10">
        <v>7555.4</v>
      </c>
      <c r="O37" s="10"/>
      <c r="P37" s="10"/>
      <c r="Q37" s="10"/>
      <c r="R37" s="10"/>
      <c r="S37" s="10"/>
      <c r="T37" s="10"/>
      <c r="U37" s="10"/>
      <c r="V37" s="10"/>
      <c r="W37" s="10"/>
      <c r="X37" s="10"/>
      <c r="Y37" s="10"/>
      <c r="Z37" s="10"/>
      <c r="AA37" s="10"/>
      <c r="AB37" s="10"/>
      <c r="AC37" s="10"/>
      <c r="AD37" s="10"/>
      <c r="AE37" s="10"/>
      <c r="AF37" s="10"/>
      <c r="AG37" s="10"/>
      <c r="AH37" s="44">
        <f t="shared" si="1"/>
        <v>268593.58999999997</v>
      </c>
    </row>
    <row r="38" spans="1:34" x14ac:dyDescent="0.25">
      <c r="A38" s="48" t="s">
        <v>106</v>
      </c>
      <c r="B38" s="71">
        <v>52</v>
      </c>
      <c r="C38" s="10">
        <v>50718.799999999996</v>
      </c>
      <c r="D38" s="10">
        <v>57454.700000000004</v>
      </c>
      <c r="E38" s="10">
        <v>42867</v>
      </c>
      <c r="F38" s="10">
        <v>10687.3</v>
      </c>
      <c r="G38" s="10">
        <v>5911</v>
      </c>
      <c r="H38" s="10">
        <v>42145.2</v>
      </c>
      <c r="I38" s="10">
        <v>55945.3</v>
      </c>
      <c r="J38" s="10">
        <v>43276.799999999996</v>
      </c>
      <c r="K38" s="10">
        <v>73676.789999999994</v>
      </c>
      <c r="L38" s="10">
        <v>39936.1</v>
      </c>
      <c r="M38" s="10">
        <v>18115.400000000001</v>
      </c>
      <c r="N38" s="10">
        <v>6964.3</v>
      </c>
      <c r="O38" s="10"/>
      <c r="P38" s="10"/>
      <c r="Q38" s="10"/>
      <c r="R38" s="10"/>
      <c r="S38" s="10"/>
      <c r="T38" s="10"/>
      <c r="U38" s="10"/>
      <c r="V38" s="10"/>
      <c r="W38" s="10"/>
      <c r="X38" s="10"/>
      <c r="Y38" s="10"/>
      <c r="Z38" s="10"/>
      <c r="AA38" s="10"/>
      <c r="AB38" s="10"/>
      <c r="AC38" s="10"/>
      <c r="AD38" s="10"/>
      <c r="AE38" s="10"/>
      <c r="AF38" s="10"/>
      <c r="AG38" s="10"/>
      <c r="AH38" s="44">
        <f t="shared" si="1"/>
        <v>447698.68999999994</v>
      </c>
    </row>
    <row r="39" spans="1:34" x14ac:dyDescent="0.25">
      <c r="A39" s="48" t="s">
        <v>106</v>
      </c>
      <c r="B39" s="71">
        <v>53</v>
      </c>
      <c r="C39" s="10">
        <v>18650.7</v>
      </c>
      <c r="D39" s="10">
        <v>23506</v>
      </c>
      <c r="E39" s="10">
        <v>23313.399999999998</v>
      </c>
      <c r="F39" s="10">
        <v>1416</v>
      </c>
      <c r="G39" s="10">
        <v>1125</v>
      </c>
      <c r="H39" s="10">
        <v>28731.599999999999</v>
      </c>
      <c r="I39" s="10">
        <v>49698.399999999994</v>
      </c>
      <c r="J39" s="10">
        <v>105300.9</v>
      </c>
      <c r="K39" s="10">
        <v>135878.99000000002</v>
      </c>
      <c r="L39" s="10">
        <v>73977.900000000009</v>
      </c>
      <c r="M39" s="10">
        <v>34317</v>
      </c>
      <c r="N39" s="10">
        <v>28058</v>
      </c>
      <c r="O39" s="10"/>
      <c r="P39" s="10"/>
      <c r="Q39" s="10"/>
      <c r="R39" s="10"/>
      <c r="S39" s="10"/>
      <c r="T39" s="10"/>
      <c r="U39" s="10"/>
      <c r="V39" s="10"/>
      <c r="W39" s="10"/>
      <c r="X39" s="10"/>
      <c r="Y39" s="10"/>
      <c r="Z39" s="10"/>
      <c r="AA39" s="10"/>
      <c r="AB39" s="10"/>
      <c r="AC39" s="10"/>
      <c r="AD39" s="10"/>
      <c r="AE39" s="10"/>
      <c r="AF39" s="10"/>
      <c r="AG39" s="10"/>
      <c r="AH39" s="44">
        <f t="shared" si="1"/>
        <v>523973.89</v>
      </c>
    </row>
    <row r="40" spans="1:34" x14ac:dyDescent="0.25">
      <c r="A40" s="48" t="s">
        <v>106</v>
      </c>
      <c r="B40" s="71">
        <v>55</v>
      </c>
      <c r="C40" s="10">
        <v>229296.30000000002</v>
      </c>
      <c r="D40" s="10">
        <v>116290.3</v>
      </c>
      <c r="E40" s="10">
        <v>139701</v>
      </c>
      <c r="F40" s="10">
        <v>16045.199999999999</v>
      </c>
      <c r="G40" s="10">
        <v>11758</v>
      </c>
      <c r="H40" s="10">
        <v>178252.79999999999</v>
      </c>
      <c r="I40" s="10">
        <v>199012.78999999995</v>
      </c>
      <c r="J40" s="10">
        <v>150925.89999999997</v>
      </c>
      <c r="K40" s="10">
        <v>378064.3</v>
      </c>
      <c r="L40" s="10">
        <v>512443.89999999997</v>
      </c>
      <c r="M40" s="10">
        <v>134454.70000000001</v>
      </c>
      <c r="N40" s="10">
        <v>79402.2</v>
      </c>
      <c r="O40" s="10"/>
      <c r="P40" s="10"/>
      <c r="Q40" s="10"/>
      <c r="R40" s="10"/>
      <c r="S40" s="10"/>
      <c r="T40" s="10"/>
      <c r="U40" s="10"/>
      <c r="V40" s="10"/>
      <c r="W40" s="10"/>
      <c r="X40" s="10"/>
      <c r="Y40" s="10"/>
      <c r="Z40" s="10"/>
      <c r="AA40" s="10"/>
      <c r="AB40" s="10"/>
      <c r="AC40" s="10"/>
      <c r="AD40" s="10"/>
      <c r="AE40" s="10"/>
      <c r="AF40" s="10"/>
      <c r="AG40" s="10"/>
      <c r="AH40" s="44">
        <f t="shared" si="1"/>
        <v>2145647.39</v>
      </c>
    </row>
    <row r="41" spans="1:34" x14ac:dyDescent="0.25">
      <c r="A41" s="48" t="s">
        <v>106</v>
      </c>
      <c r="B41" s="71">
        <v>60</v>
      </c>
      <c r="C41" s="10">
        <v>51729.7</v>
      </c>
      <c r="D41" s="10">
        <v>186928.38999999996</v>
      </c>
      <c r="E41" s="10">
        <v>45674.6</v>
      </c>
      <c r="F41" s="10">
        <v>7222.3</v>
      </c>
      <c r="G41" s="10">
        <v>8249</v>
      </c>
      <c r="H41" s="10">
        <v>275755.69999999995</v>
      </c>
      <c r="I41" s="10">
        <v>44540.999999999993</v>
      </c>
      <c r="J41" s="10">
        <v>88829.6</v>
      </c>
      <c r="K41" s="10">
        <v>50068.6</v>
      </c>
      <c r="L41" s="10">
        <v>79426.64</v>
      </c>
      <c r="M41" s="10">
        <v>26187.899999999998</v>
      </c>
      <c r="N41" s="10">
        <v>30504.799999999999</v>
      </c>
      <c r="O41" s="10"/>
      <c r="P41" s="10"/>
      <c r="Q41" s="10"/>
      <c r="R41" s="10"/>
      <c r="S41" s="10"/>
      <c r="T41" s="10"/>
      <c r="U41" s="10"/>
      <c r="V41" s="10"/>
      <c r="W41" s="10"/>
      <c r="X41" s="10"/>
      <c r="Y41" s="10"/>
      <c r="Z41" s="10"/>
      <c r="AA41" s="10"/>
      <c r="AB41" s="10"/>
      <c r="AC41" s="10"/>
      <c r="AD41" s="10"/>
      <c r="AE41" s="10"/>
      <c r="AF41" s="10"/>
      <c r="AG41" s="10"/>
      <c r="AH41" s="44">
        <f t="shared" si="1"/>
        <v>895118.23</v>
      </c>
    </row>
    <row r="42" spans="1:34" x14ac:dyDescent="0.25">
      <c r="A42" s="48" t="s">
        <v>106</v>
      </c>
      <c r="B42" s="71">
        <v>61</v>
      </c>
      <c r="C42" s="10">
        <v>15797.199999999999</v>
      </c>
      <c r="D42" s="10">
        <v>15790</v>
      </c>
      <c r="E42" s="10">
        <v>2836.8</v>
      </c>
      <c r="F42" s="10">
        <v>896</v>
      </c>
      <c r="G42" s="10">
        <v>1332</v>
      </c>
      <c r="H42" s="10">
        <v>6375</v>
      </c>
      <c r="I42" s="10">
        <v>15854.500000000002</v>
      </c>
      <c r="J42" s="10">
        <v>9602</v>
      </c>
      <c r="K42" s="10">
        <v>29781</v>
      </c>
      <c r="L42" s="10">
        <v>2962</v>
      </c>
      <c r="M42" s="10">
        <v>2398.5</v>
      </c>
      <c r="N42" s="10">
        <v>2446</v>
      </c>
      <c r="O42" s="10"/>
      <c r="P42" s="10"/>
      <c r="Q42" s="10"/>
      <c r="R42" s="10"/>
      <c r="S42" s="10"/>
      <c r="T42" s="10"/>
      <c r="U42" s="10"/>
      <c r="V42" s="10"/>
      <c r="W42" s="10"/>
      <c r="X42" s="10"/>
      <c r="Y42" s="10"/>
      <c r="Z42" s="10"/>
      <c r="AA42" s="10"/>
      <c r="AB42" s="10"/>
      <c r="AC42" s="10"/>
      <c r="AD42" s="10"/>
      <c r="AE42" s="10"/>
      <c r="AF42" s="10"/>
      <c r="AG42" s="10"/>
      <c r="AH42" s="44">
        <f t="shared" si="1"/>
        <v>106071</v>
      </c>
    </row>
    <row r="43" spans="1:34" x14ac:dyDescent="0.25">
      <c r="A43" s="48" t="s">
        <v>106</v>
      </c>
      <c r="B43" s="71">
        <v>62</v>
      </c>
      <c r="C43" s="10">
        <v>2810</v>
      </c>
      <c r="D43" s="10">
        <v>739.3</v>
      </c>
      <c r="E43" s="10">
        <v>13232</v>
      </c>
      <c r="F43" s="10"/>
      <c r="G43" s="10">
        <v>950</v>
      </c>
      <c r="H43" s="10">
        <v>2000</v>
      </c>
      <c r="I43" s="10">
        <v>1852.5</v>
      </c>
      <c r="J43" s="10">
        <v>770</v>
      </c>
      <c r="K43" s="10">
        <v>200</v>
      </c>
      <c r="L43" s="10">
        <v>1352</v>
      </c>
      <c r="M43" s="10">
        <v>603</v>
      </c>
      <c r="N43" s="10"/>
      <c r="O43" s="10"/>
      <c r="P43" s="10"/>
      <c r="Q43" s="10"/>
      <c r="R43" s="10"/>
      <c r="S43" s="10"/>
      <c r="T43" s="10"/>
      <c r="U43" s="10"/>
      <c r="V43" s="10"/>
      <c r="W43" s="10"/>
      <c r="X43" s="10"/>
      <c r="Y43" s="10"/>
      <c r="Z43" s="10"/>
      <c r="AA43" s="10"/>
      <c r="AB43" s="10"/>
      <c r="AC43" s="10"/>
      <c r="AD43" s="10"/>
      <c r="AE43" s="10"/>
      <c r="AF43" s="10"/>
      <c r="AG43" s="10"/>
      <c r="AH43" s="44">
        <f t="shared" si="1"/>
        <v>24508.799999999999</v>
      </c>
    </row>
    <row r="44" spans="1:34" x14ac:dyDescent="0.25">
      <c r="A44" s="48" t="s">
        <v>106</v>
      </c>
      <c r="B44" s="71">
        <v>64</v>
      </c>
      <c r="C44" s="10">
        <v>31508.199999999997</v>
      </c>
      <c r="D44" s="10">
        <v>59670</v>
      </c>
      <c r="E44" s="10">
        <v>23838.9</v>
      </c>
      <c r="F44" s="10">
        <v>19188</v>
      </c>
      <c r="G44" s="10">
        <v>5886.5</v>
      </c>
      <c r="H44" s="10">
        <v>41240</v>
      </c>
      <c r="I44" s="10">
        <v>57927.49</v>
      </c>
      <c r="J44" s="10">
        <v>32486.5</v>
      </c>
      <c r="K44" s="10">
        <v>124329</v>
      </c>
      <c r="L44" s="10">
        <v>6617</v>
      </c>
      <c r="M44" s="10">
        <v>2935.3</v>
      </c>
      <c r="N44" s="10">
        <v>3394.8</v>
      </c>
      <c r="O44" s="10"/>
      <c r="P44" s="10"/>
      <c r="Q44" s="10"/>
      <c r="R44" s="10"/>
      <c r="S44" s="10"/>
      <c r="T44" s="10"/>
      <c r="U44" s="10"/>
      <c r="V44" s="10"/>
      <c r="W44" s="10"/>
      <c r="X44" s="10"/>
      <c r="Y44" s="10"/>
      <c r="Z44" s="10"/>
      <c r="AA44" s="10"/>
      <c r="AB44" s="10"/>
      <c r="AC44" s="10"/>
      <c r="AD44" s="10"/>
      <c r="AE44" s="10"/>
      <c r="AF44" s="10"/>
      <c r="AG44" s="10"/>
      <c r="AH44" s="44">
        <f t="shared" si="1"/>
        <v>409021.68999999994</v>
      </c>
    </row>
    <row r="45" spans="1:34" x14ac:dyDescent="0.25">
      <c r="A45" s="48" t="s">
        <v>106</v>
      </c>
      <c r="B45" s="71">
        <v>65</v>
      </c>
      <c r="C45" s="10">
        <v>51477.200000000004</v>
      </c>
      <c r="D45" s="10">
        <v>55659</v>
      </c>
      <c r="E45" s="10">
        <v>8230</v>
      </c>
      <c r="F45" s="10">
        <v>3034</v>
      </c>
      <c r="G45" s="10">
        <v>526</v>
      </c>
      <c r="H45" s="10">
        <v>25179.7</v>
      </c>
      <c r="I45" s="10">
        <v>102425.06999999999</v>
      </c>
      <c r="J45" s="10">
        <v>36441.9</v>
      </c>
      <c r="K45" s="10">
        <v>75168.5</v>
      </c>
      <c r="L45" s="10">
        <v>24577.3</v>
      </c>
      <c r="M45" s="10">
        <v>23955.600000000006</v>
      </c>
      <c r="N45" s="10">
        <v>9532.2000000000007</v>
      </c>
      <c r="O45" s="10"/>
      <c r="P45" s="10"/>
      <c r="Q45" s="10"/>
      <c r="R45" s="10"/>
      <c r="S45" s="10"/>
      <c r="T45" s="10"/>
      <c r="U45" s="10"/>
      <c r="V45" s="10"/>
      <c r="W45" s="10"/>
      <c r="X45" s="10"/>
      <c r="Y45" s="10"/>
      <c r="Z45" s="10"/>
      <c r="AA45" s="10"/>
      <c r="AB45" s="10"/>
      <c r="AC45" s="10"/>
      <c r="AD45" s="10"/>
      <c r="AE45" s="10"/>
      <c r="AF45" s="10"/>
      <c r="AG45" s="10"/>
      <c r="AH45" s="44">
        <f t="shared" si="1"/>
        <v>416206.47000000003</v>
      </c>
    </row>
    <row r="46" spans="1:34" x14ac:dyDescent="0.25">
      <c r="A46" s="48" t="s">
        <v>106</v>
      </c>
      <c r="B46" s="71">
        <v>66</v>
      </c>
      <c r="C46" s="10">
        <v>21187</v>
      </c>
      <c r="D46" s="10">
        <v>18058</v>
      </c>
      <c r="E46" s="10">
        <v>16850</v>
      </c>
      <c r="F46" s="10">
        <v>1622.6</v>
      </c>
      <c r="G46" s="10">
        <v>3858</v>
      </c>
      <c r="H46" s="10">
        <v>38642</v>
      </c>
      <c r="I46" s="10">
        <v>38444.200000000004</v>
      </c>
      <c r="J46" s="10">
        <v>32716.2</v>
      </c>
      <c r="K46" s="10">
        <v>39856</v>
      </c>
      <c r="L46" s="10">
        <v>20843.5</v>
      </c>
      <c r="M46" s="10">
        <v>8289</v>
      </c>
      <c r="N46" s="10">
        <v>3088</v>
      </c>
      <c r="O46" s="10"/>
      <c r="P46" s="10"/>
      <c r="Q46" s="10"/>
      <c r="R46" s="10"/>
      <c r="S46" s="10"/>
      <c r="T46" s="10"/>
      <c r="U46" s="10"/>
      <c r="V46" s="10"/>
      <c r="W46" s="10"/>
      <c r="X46" s="10"/>
      <c r="Y46" s="10"/>
      <c r="Z46" s="10"/>
      <c r="AA46" s="10"/>
      <c r="AB46" s="10"/>
      <c r="AC46" s="10"/>
      <c r="AD46" s="10"/>
      <c r="AE46" s="10"/>
      <c r="AF46" s="10"/>
      <c r="AG46" s="10"/>
      <c r="AH46" s="44">
        <f t="shared" si="1"/>
        <v>243454.50000000003</v>
      </c>
    </row>
    <row r="47" spans="1:34" x14ac:dyDescent="0.25">
      <c r="A47" s="48" t="s">
        <v>106</v>
      </c>
      <c r="B47" s="71">
        <v>67</v>
      </c>
      <c r="C47" s="10">
        <v>35579.300000000003</v>
      </c>
      <c r="D47" s="10">
        <v>23930.6</v>
      </c>
      <c r="E47" s="10">
        <v>10139.4</v>
      </c>
      <c r="F47" s="10">
        <v>5677</v>
      </c>
      <c r="G47" s="10">
        <v>3210</v>
      </c>
      <c r="H47" s="10">
        <v>33806.299999999996</v>
      </c>
      <c r="I47" s="10">
        <v>18068.089999999997</v>
      </c>
      <c r="J47" s="10">
        <v>11360.5</v>
      </c>
      <c r="K47" s="10">
        <v>14173.8</v>
      </c>
      <c r="L47" s="10">
        <v>6396</v>
      </c>
      <c r="M47" s="10">
        <v>50463.3</v>
      </c>
      <c r="N47" s="10">
        <v>1041</v>
      </c>
      <c r="O47" s="10"/>
      <c r="P47" s="10"/>
      <c r="Q47" s="10"/>
      <c r="R47" s="10"/>
      <c r="S47" s="10"/>
      <c r="T47" s="10"/>
      <c r="U47" s="10"/>
      <c r="V47" s="10"/>
      <c r="W47" s="10"/>
      <c r="X47" s="10"/>
      <c r="Y47" s="10"/>
      <c r="Z47" s="10"/>
      <c r="AA47" s="10"/>
      <c r="AB47" s="10"/>
      <c r="AC47" s="10"/>
      <c r="AD47" s="10"/>
      <c r="AE47" s="10"/>
      <c r="AF47" s="10"/>
      <c r="AG47" s="10"/>
      <c r="AH47" s="44">
        <f t="shared" si="1"/>
        <v>213845.28999999998</v>
      </c>
    </row>
    <row r="48" spans="1:34" x14ac:dyDescent="0.25">
      <c r="A48" s="48" t="s">
        <v>106</v>
      </c>
      <c r="B48" s="71">
        <v>68</v>
      </c>
      <c r="C48" s="10">
        <v>9767</v>
      </c>
      <c r="D48" s="10">
        <v>15080</v>
      </c>
      <c r="E48" s="10">
        <v>12746</v>
      </c>
      <c r="F48" s="10">
        <v>4370</v>
      </c>
      <c r="G48" s="10">
        <v>1257</v>
      </c>
      <c r="H48" s="10">
        <v>21402</v>
      </c>
      <c r="I48" s="10">
        <v>9658.8900000000012</v>
      </c>
      <c r="J48" s="10">
        <v>14252</v>
      </c>
      <c r="K48" s="10">
        <v>7942.8</v>
      </c>
      <c r="L48" s="10">
        <v>19568.7</v>
      </c>
      <c r="M48" s="10">
        <v>38271</v>
      </c>
      <c r="N48" s="10">
        <v>10810.6</v>
      </c>
      <c r="O48" s="10"/>
      <c r="P48" s="10"/>
      <c r="Q48" s="10"/>
      <c r="R48" s="10"/>
      <c r="S48" s="10"/>
      <c r="T48" s="10"/>
      <c r="U48" s="10"/>
      <c r="V48" s="10"/>
      <c r="W48" s="10"/>
      <c r="X48" s="10"/>
      <c r="Y48" s="10"/>
      <c r="Z48" s="10"/>
      <c r="AA48" s="10"/>
      <c r="AB48" s="10"/>
      <c r="AC48" s="10"/>
      <c r="AD48" s="10"/>
      <c r="AE48" s="10"/>
      <c r="AF48" s="10"/>
      <c r="AG48" s="10"/>
      <c r="AH48" s="44">
        <f t="shared" si="1"/>
        <v>165125.99000000002</v>
      </c>
    </row>
    <row r="49" spans="1:34" x14ac:dyDescent="0.25">
      <c r="A49" s="48" t="s">
        <v>106</v>
      </c>
      <c r="B49" s="71">
        <v>69</v>
      </c>
      <c r="C49" s="10">
        <v>1971</v>
      </c>
      <c r="D49" s="10">
        <v>1094</v>
      </c>
      <c r="E49" s="10">
        <v>4170.8</v>
      </c>
      <c r="F49" s="10">
        <v>956.1</v>
      </c>
      <c r="G49" s="10">
        <v>574</v>
      </c>
      <c r="H49" s="10">
        <v>28084</v>
      </c>
      <c r="I49" s="10">
        <v>15386.800000000001</v>
      </c>
      <c r="J49" s="10">
        <v>2082</v>
      </c>
      <c r="K49" s="10">
        <v>2533</v>
      </c>
      <c r="L49" s="10">
        <v>2286</v>
      </c>
      <c r="M49" s="10">
        <v>13030.800000000001</v>
      </c>
      <c r="N49" s="10">
        <v>355</v>
      </c>
      <c r="O49" s="10"/>
      <c r="P49" s="10"/>
      <c r="Q49" s="10"/>
      <c r="R49" s="10"/>
      <c r="S49" s="10"/>
      <c r="T49" s="10"/>
      <c r="U49" s="10"/>
      <c r="V49" s="10"/>
      <c r="W49" s="10"/>
      <c r="X49" s="10"/>
      <c r="Y49" s="10"/>
      <c r="Z49" s="10"/>
      <c r="AA49" s="10"/>
      <c r="AB49" s="10"/>
      <c r="AC49" s="10"/>
      <c r="AD49" s="10"/>
      <c r="AE49" s="10"/>
      <c r="AF49" s="10"/>
      <c r="AG49" s="10"/>
      <c r="AH49" s="44">
        <f t="shared" si="1"/>
        <v>72523.5</v>
      </c>
    </row>
    <row r="50" spans="1:34" x14ac:dyDescent="0.25">
      <c r="A50" s="48" t="s">
        <v>106</v>
      </c>
      <c r="B50" s="71">
        <v>70</v>
      </c>
      <c r="C50" s="10">
        <v>34612.800000000003</v>
      </c>
      <c r="D50" s="10">
        <v>48842.289999999994</v>
      </c>
      <c r="E50" s="10">
        <v>28299</v>
      </c>
      <c r="F50" s="10">
        <v>1067</v>
      </c>
      <c r="G50" s="10">
        <v>1488</v>
      </c>
      <c r="H50" s="10">
        <v>18621.8</v>
      </c>
      <c r="I50" s="10">
        <v>24322.7</v>
      </c>
      <c r="J50" s="10">
        <v>21833</v>
      </c>
      <c r="K50" s="10">
        <v>17239.099999999999</v>
      </c>
      <c r="L50" s="10">
        <v>21550</v>
      </c>
      <c r="M50" s="10">
        <v>14191.1</v>
      </c>
      <c r="N50" s="10">
        <v>9819.4</v>
      </c>
      <c r="O50" s="10"/>
      <c r="P50" s="10"/>
      <c r="Q50" s="10"/>
      <c r="R50" s="10"/>
      <c r="S50" s="10"/>
      <c r="T50" s="10"/>
      <c r="U50" s="10"/>
      <c r="V50" s="10"/>
      <c r="W50" s="10"/>
      <c r="X50" s="10"/>
      <c r="Y50" s="10"/>
      <c r="Z50" s="10"/>
      <c r="AA50" s="10"/>
      <c r="AB50" s="10"/>
      <c r="AC50" s="10"/>
      <c r="AD50" s="10"/>
      <c r="AE50" s="10"/>
      <c r="AF50" s="10"/>
      <c r="AG50" s="10"/>
      <c r="AH50" s="44">
        <f t="shared" si="1"/>
        <v>241886.19</v>
      </c>
    </row>
    <row r="51" spans="1:34" x14ac:dyDescent="0.25">
      <c r="A51" s="48" t="s">
        <v>106</v>
      </c>
      <c r="B51" s="71">
        <v>71</v>
      </c>
      <c r="C51" s="10">
        <v>103536.3</v>
      </c>
      <c r="D51" s="10">
        <v>43330.5</v>
      </c>
      <c r="E51" s="10">
        <v>21020.600000000002</v>
      </c>
      <c r="F51" s="10">
        <v>6542</v>
      </c>
      <c r="G51" s="10">
        <v>2032</v>
      </c>
      <c r="H51" s="10">
        <v>59743.199999999997</v>
      </c>
      <c r="I51" s="10">
        <v>56446.400000000001</v>
      </c>
      <c r="J51" s="10">
        <v>22237</v>
      </c>
      <c r="K51" s="10">
        <v>26032</v>
      </c>
      <c r="L51" s="10">
        <v>28077.5</v>
      </c>
      <c r="M51" s="10">
        <v>53370</v>
      </c>
      <c r="N51" s="10">
        <v>20352.900000000001</v>
      </c>
      <c r="O51" s="10"/>
      <c r="P51" s="10"/>
      <c r="Q51" s="10"/>
      <c r="R51" s="10"/>
      <c r="S51" s="10"/>
      <c r="T51" s="10"/>
      <c r="U51" s="10"/>
      <c r="V51" s="10"/>
      <c r="W51" s="10"/>
      <c r="X51" s="10"/>
      <c r="Y51" s="10"/>
      <c r="Z51" s="10"/>
      <c r="AA51" s="10"/>
      <c r="AB51" s="10"/>
      <c r="AC51" s="10"/>
      <c r="AD51" s="10"/>
      <c r="AE51" s="10"/>
      <c r="AF51" s="10"/>
      <c r="AG51" s="10"/>
      <c r="AH51" s="44">
        <f t="shared" si="1"/>
        <v>442720.4</v>
      </c>
    </row>
    <row r="52" spans="1:34" x14ac:dyDescent="0.25">
      <c r="A52" s="48" t="s">
        <v>106</v>
      </c>
      <c r="B52" s="71">
        <v>72</v>
      </c>
      <c r="C52" s="10">
        <v>25209.3</v>
      </c>
      <c r="D52" s="10">
        <v>36065</v>
      </c>
      <c r="E52" s="10">
        <v>18295</v>
      </c>
      <c r="F52" s="10">
        <v>7927.2</v>
      </c>
      <c r="G52" s="10">
        <v>846</v>
      </c>
      <c r="H52" s="10">
        <v>58903</v>
      </c>
      <c r="I52" s="10">
        <v>58846</v>
      </c>
      <c r="J52" s="10">
        <v>13822</v>
      </c>
      <c r="K52" s="10">
        <v>38140.199999999997</v>
      </c>
      <c r="L52" s="10">
        <v>19728</v>
      </c>
      <c r="M52" s="10">
        <v>7102</v>
      </c>
      <c r="N52" s="10">
        <v>8017</v>
      </c>
      <c r="O52" s="10"/>
      <c r="P52" s="10"/>
      <c r="Q52" s="10"/>
      <c r="R52" s="10"/>
      <c r="S52" s="10"/>
      <c r="T52" s="10"/>
      <c r="U52" s="10"/>
      <c r="V52" s="10"/>
      <c r="W52" s="10"/>
      <c r="X52" s="10"/>
      <c r="Y52" s="10"/>
      <c r="Z52" s="10"/>
      <c r="AA52" s="10"/>
      <c r="AB52" s="10"/>
      <c r="AC52" s="10"/>
      <c r="AD52" s="10"/>
      <c r="AE52" s="10"/>
      <c r="AF52" s="10"/>
      <c r="AG52" s="10"/>
      <c r="AH52" s="44">
        <f t="shared" si="1"/>
        <v>292900.7</v>
      </c>
    </row>
    <row r="53" spans="1:34" x14ac:dyDescent="0.25">
      <c r="A53" s="48" t="s">
        <v>106</v>
      </c>
      <c r="B53" s="71">
        <v>73</v>
      </c>
      <c r="C53" s="10">
        <v>28459.3</v>
      </c>
      <c r="D53" s="10">
        <v>13863.900000000001</v>
      </c>
      <c r="E53" s="10">
        <v>13133.1</v>
      </c>
      <c r="F53" s="10">
        <v>12890</v>
      </c>
      <c r="G53" s="10">
        <v>1092</v>
      </c>
      <c r="H53" s="10">
        <v>35183.4</v>
      </c>
      <c r="I53" s="10">
        <v>57058.700000000004</v>
      </c>
      <c r="J53" s="10">
        <v>27707</v>
      </c>
      <c r="K53" s="10">
        <v>35011.199999999997</v>
      </c>
      <c r="L53" s="10">
        <v>44788</v>
      </c>
      <c r="M53" s="10">
        <v>7819</v>
      </c>
      <c r="N53" s="10">
        <v>4218</v>
      </c>
      <c r="O53" s="10"/>
      <c r="P53" s="10"/>
      <c r="Q53" s="10"/>
      <c r="R53" s="10"/>
      <c r="S53" s="10"/>
      <c r="T53" s="10"/>
      <c r="U53" s="10"/>
      <c r="V53" s="10"/>
      <c r="W53" s="10"/>
      <c r="X53" s="10"/>
      <c r="Y53" s="10"/>
      <c r="Z53" s="10"/>
      <c r="AA53" s="10"/>
      <c r="AB53" s="10"/>
      <c r="AC53" s="10"/>
      <c r="AD53" s="10"/>
      <c r="AE53" s="10"/>
      <c r="AF53" s="10"/>
      <c r="AG53" s="10"/>
      <c r="AH53" s="44">
        <f t="shared" si="1"/>
        <v>281223.59999999998</v>
      </c>
    </row>
    <row r="54" spans="1:34" x14ac:dyDescent="0.25">
      <c r="A54" s="48" t="s">
        <v>106</v>
      </c>
      <c r="B54" s="71">
        <v>74</v>
      </c>
      <c r="C54" s="10">
        <v>13665</v>
      </c>
      <c r="D54" s="10">
        <v>6930</v>
      </c>
      <c r="E54" s="10">
        <v>3914</v>
      </c>
      <c r="F54" s="10">
        <v>125</v>
      </c>
      <c r="G54" s="10">
        <v>1604</v>
      </c>
      <c r="H54" s="10">
        <v>5672</v>
      </c>
      <c r="I54" s="10">
        <v>6386.7</v>
      </c>
      <c r="J54" s="10">
        <v>2256</v>
      </c>
      <c r="K54" s="10">
        <v>17072</v>
      </c>
      <c r="L54" s="10">
        <v>2480</v>
      </c>
      <c r="M54" s="10">
        <v>510</v>
      </c>
      <c r="N54" s="10">
        <v>723</v>
      </c>
      <c r="O54" s="10"/>
      <c r="P54" s="10"/>
      <c r="Q54" s="10"/>
      <c r="R54" s="10"/>
      <c r="S54" s="10"/>
      <c r="T54" s="10"/>
      <c r="U54" s="10"/>
      <c r="V54" s="10"/>
      <c r="W54" s="10"/>
      <c r="X54" s="10"/>
      <c r="Y54" s="10"/>
      <c r="Z54" s="10"/>
      <c r="AA54" s="10"/>
      <c r="AB54" s="10"/>
      <c r="AC54" s="10"/>
      <c r="AD54" s="10"/>
      <c r="AE54" s="10"/>
      <c r="AF54" s="10"/>
      <c r="AG54" s="10"/>
      <c r="AH54" s="44">
        <f t="shared" si="1"/>
        <v>61337.7</v>
      </c>
    </row>
    <row r="55" spans="1:34" x14ac:dyDescent="0.25">
      <c r="A55" s="48" t="s">
        <v>106</v>
      </c>
      <c r="B55" s="71">
        <v>75</v>
      </c>
      <c r="C55" s="10">
        <v>31385</v>
      </c>
      <c r="D55" s="10">
        <v>19939</v>
      </c>
      <c r="E55" s="10">
        <v>7307.3</v>
      </c>
      <c r="F55" s="10">
        <v>3285</v>
      </c>
      <c r="G55" s="10">
        <v>10173</v>
      </c>
      <c r="H55" s="10">
        <v>95483</v>
      </c>
      <c r="I55" s="10">
        <v>74918.19</v>
      </c>
      <c r="J55" s="10">
        <v>98196.48000000001</v>
      </c>
      <c r="K55" s="10">
        <v>82132.389999999985</v>
      </c>
      <c r="L55" s="10">
        <v>57576.5</v>
      </c>
      <c r="M55" s="10">
        <v>34320.199999999997</v>
      </c>
      <c r="N55" s="10">
        <v>15636.800000000001</v>
      </c>
      <c r="O55" s="10"/>
      <c r="P55" s="10"/>
      <c r="Q55" s="10"/>
      <c r="R55" s="10"/>
      <c r="S55" s="10"/>
      <c r="T55" s="10"/>
      <c r="U55" s="10"/>
      <c r="V55" s="10"/>
      <c r="W55" s="10"/>
      <c r="X55" s="10"/>
      <c r="Y55" s="10"/>
      <c r="Z55" s="10"/>
      <c r="AA55" s="10"/>
      <c r="AB55" s="10"/>
      <c r="AC55" s="10"/>
      <c r="AD55" s="10"/>
      <c r="AE55" s="10"/>
      <c r="AF55" s="10"/>
      <c r="AG55" s="10"/>
      <c r="AH55" s="44">
        <f t="shared" si="1"/>
        <v>530352.86</v>
      </c>
    </row>
    <row r="56" spans="1:34" x14ac:dyDescent="0.25">
      <c r="A56" s="48" t="s">
        <v>106</v>
      </c>
      <c r="B56" s="71">
        <v>76</v>
      </c>
      <c r="C56" s="10">
        <v>1539.9</v>
      </c>
      <c r="D56" s="10"/>
      <c r="E56" s="10"/>
      <c r="F56" s="10">
        <v>988</v>
      </c>
      <c r="G56" s="10">
        <v>1499</v>
      </c>
      <c r="H56" s="10"/>
      <c r="I56" s="10">
        <v>1526.4</v>
      </c>
      <c r="J56" s="10">
        <v>375</v>
      </c>
      <c r="K56" s="10"/>
      <c r="L56" s="10"/>
      <c r="M56" s="10">
        <v>368</v>
      </c>
      <c r="N56" s="10"/>
      <c r="O56" s="10"/>
      <c r="P56" s="10"/>
      <c r="Q56" s="10"/>
      <c r="R56" s="10"/>
      <c r="S56" s="10"/>
      <c r="T56" s="10"/>
      <c r="U56" s="10"/>
      <c r="V56" s="10"/>
      <c r="W56" s="10"/>
      <c r="X56" s="10"/>
      <c r="Y56" s="10"/>
      <c r="Z56" s="10"/>
      <c r="AA56" s="10"/>
      <c r="AB56" s="10"/>
      <c r="AC56" s="10"/>
      <c r="AD56" s="10"/>
      <c r="AE56" s="10"/>
      <c r="AF56" s="10"/>
      <c r="AG56" s="10"/>
      <c r="AH56" s="44">
        <f t="shared" si="1"/>
        <v>6296.3</v>
      </c>
    </row>
    <row r="57" spans="1:34" x14ac:dyDescent="0.25">
      <c r="A57" s="48" t="s">
        <v>106</v>
      </c>
      <c r="B57" s="71">
        <v>77</v>
      </c>
      <c r="C57" s="10">
        <v>24844</v>
      </c>
      <c r="D57" s="10">
        <v>7497</v>
      </c>
      <c r="E57" s="10">
        <v>6706</v>
      </c>
      <c r="F57" s="10">
        <v>3443</v>
      </c>
      <c r="G57" s="10">
        <v>1649</v>
      </c>
      <c r="H57" s="10">
        <v>23053.599999999999</v>
      </c>
      <c r="I57" s="10">
        <v>20697.300000000003</v>
      </c>
      <c r="J57" s="10">
        <v>17715</v>
      </c>
      <c r="K57" s="10">
        <v>29347.1</v>
      </c>
      <c r="L57" s="10">
        <v>13897.5</v>
      </c>
      <c r="M57" s="10">
        <v>11685.2</v>
      </c>
      <c r="N57" s="10">
        <v>9299</v>
      </c>
      <c r="O57" s="10"/>
      <c r="P57" s="10"/>
      <c r="Q57" s="10"/>
      <c r="R57" s="10"/>
      <c r="S57" s="10"/>
      <c r="T57" s="10"/>
      <c r="U57" s="10"/>
      <c r="V57" s="10"/>
      <c r="W57" s="10"/>
      <c r="X57" s="10"/>
      <c r="Y57" s="10"/>
      <c r="Z57" s="10"/>
      <c r="AA57" s="10"/>
      <c r="AB57" s="10"/>
      <c r="AC57" s="10"/>
      <c r="AD57" s="10"/>
      <c r="AE57" s="10"/>
      <c r="AF57" s="10"/>
      <c r="AG57" s="10"/>
      <c r="AH57" s="44">
        <f t="shared" si="1"/>
        <v>169833.7</v>
      </c>
    </row>
    <row r="58" spans="1:34" x14ac:dyDescent="0.25">
      <c r="A58" s="48" t="s">
        <v>106</v>
      </c>
      <c r="B58" s="71">
        <v>78</v>
      </c>
      <c r="C58" s="10">
        <v>9996.6</v>
      </c>
      <c r="D58" s="10">
        <v>7417.4900000000007</v>
      </c>
      <c r="E58" s="10">
        <v>10438.1</v>
      </c>
      <c r="F58" s="10">
        <v>1357</v>
      </c>
      <c r="G58" s="10">
        <v>687</v>
      </c>
      <c r="H58" s="10">
        <v>12655.2</v>
      </c>
      <c r="I58" s="10">
        <v>12263.880000000001</v>
      </c>
      <c r="J58" s="10">
        <v>5063.8</v>
      </c>
      <c r="K58" s="10">
        <v>5426</v>
      </c>
      <c r="L58" s="10">
        <v>6097.9</v>
      </c>
      <c r="M58" s="10">
        <v>3157</v>
      </c>
      <c r="N58" s="10">
        <v>2285</v>
      </c>
      <c r="O58" s="10"/>
      <c r="P58" s="10"/>
      <c r="Q58" s="10"/>
      <c r="R58" s="10"/>
      <c r="S58" s="10"/>
      <c r="T58" s="10"/>
      <c r="U58" s="10"/>
      <c r="V58" s="10"/>
      <c r="W58" s="10"/>
      <c r="X58" s="10"/>
      <c r="Y58" s="10"/>
      <c r="Z58" s="10"/>
      <c r="AA58" s="10"/>
      <c r="AB58" s="10"/>
      <c r="AC58" s="10"/>
      <c r="AD58" s="10"/>
      <c r="AE58" s="10"/>
      <c r="AF58" s="10"/>
      <c r="AG58" s="10"/>
      <c r="AH58" s="44">
        <f t="shared" si="1"/>
        <v>76844.97</v>
      </c>
    </row>
    <row r="59" spans="1:34" x14ac:dyDescent="0.25">
      <c r="A59" s="48" t="s">
        <v>106</v>
      </c>
      <c r="B59" s="71">
        <v>79</v>
      </c>
      <c r="C59" s="10"/>
      <c r="D59" s="10">
        <v>10</v>
      </c>
      <c r="E59" s="10"/>
      <c r="F59" s="10"/>
      <c r="G59" s="10"/>
      <c r="H59" s="10"/>
      <c r="I59" s="10"/>
      <c r="J59" s="10"/>
      <c r="K59" s="10"/>
      <c r="L59" s="10"/>
      <c r="M59" s="10"/>
      <c r="N59" s="10"/>
      <c r="O59" s="10"/>
      <c r="P59" s="10"/>
      <c r="Q59" s="10"/>
      <c r="R59" s="10"/>
      <c r="S59" s="10"/>
      <c r="T59" s="10"/>
      <c r="U59" s="10"/>
      <c r="V59" s="10"/>
      <c r="W59" s="10"/>
      <c r="X59" s="10"/>
      <c r="Y59" s="10"/>
      <c r="Z59" s="10"/>
      <c r="AA59" s="10"/>
      <c r="AB59" s="10"/>
      <c r="AC59" s="10"/>
      <c r="AD59" s="10"/>
      <c r="AE59" s="10"/>
      <c r="AF59" s="10"/>
      <c r="AG59" s="10"/>
      <c r="AH59" s="44">
        <f t="shared" si="1"/>
        <v>10</v>
      </c>
    </row>
    <row r="60" spans="1:34" x14ac:dyDescent="0.25">
      <c r="A60" s="48" t="s">
        <v>106</v>
      </c>
      <c r="B60" s="71">
        <v>80</v>
      </c>
      <c r="C60" s="10">
        <v>64232.9</v>
      </c>
      <c r="D60" s="10">
        <v>195378.49999999997</v>
      </c>
      <c r="E60" s="10">
        <v>54235.7</v>
      </c>
      <c r="F60" s="10">
        <v>24962</v>
      </c>
      <c r="G60" s="10">
        <v>14612</v>
      </c>
      <c r="H60" s="10">
        <v>110094.09999999999</v>
      </c>
      <c r="I60" s="10">
        <v>133884.79999999999</v>
      </c>
      <c r="J60" s="10">
        <v>80470.489999999991</v>
      </c>
      <c r="K60" s="10">
        <v>106621.4</v>
      </c>
      <c r="L60" s="10">
        <v>56239.8</v>
      </c>
      <c r="M60" s="10">
        <v>45346.9</v>
      </c>
      <c r="N60" s="10">
        <v>34773.200000000004</v>
      </c>
      <c r="O60" s="10"/>
      <c r="P60" s="10"/>
      <c r="Q60" s="10"/>
      <c r="R60" s="10"/>
      <c r="S60" s="10"/>
      <c r="T60" s="10"/>
      <c r="U60" s="10"/>
      <c r="V60" s="10"/>
      <c r="W60" s="10"/>
      <c r="X60" s="10"/>
      <c r="Y60" s="10"/>
      <c r="Z60" s="10"/>
      <c r="AA60" s="10"/>
      <c r="AB60" s="10"/>
      <c r="AC60" s="10"/>
      <c r="AD60" s="10"/>
      <c r="AE60" s="10"/>
      <c r="AF60" s="10"/>
      <c r="AG60" s="10"/>
      <c r="AH60" s="44">
        <f t="shared" si="1"/>
        <v>920851.79</v>
      </c>
    </row>
    <row r="61" spans="1:34" x14ac:dyDescent="0.25">
      <c r="A61" s="48" t="s">
        <v>106</v>
      </c>
      <c r="B61" s="71">
        <v>81</v>
      </c>
      <c r="C61" s="10"/>
      <c r="D61" s="10">
        <v>50</v>
      </c>
      <c r="E61" s="10"/>
      <c r="F61" s="10">
        <v>554</v>
      </c>
      <c r="G61" s="10"/>
      <c r="H61" s="10"/>
      <c r="I61" s="10">
        <v>397</v>
      </c>
      <c r="J61" s="10"/>
      <c r="K61" s="10">
        <v>420</v>
      </c>
      <c r="L61" s="10"/>
      <c r="M61" s="10"/>
      <c r="N61" s="10"/>
      <c r="O61" s="10"/>
      <c r="P61" s="10"/>
      <c r="Q61" s="10"/>
      <c r="R61" s="10"/>
      <c r="S61" s="10"/>
      <c r="T61" s="10"/>
      <c r="U61" s="10"/>
      <c r="V61" s="10"/>
      <c r="W61" s="10"/>
      <c r="X61" s="10"/>
      <c r="Y61" s="10"/>
      <c r="Z61" s="10"/>
      <c r="AA61" s="10"/>
      <c r="AB61" s="10"/>
      <c r="AC61" s="10"/>
      <c r="AD61" s="10"/>
      <c r="AE61" s="10"/>
      <c r="AF61" s="10"/>
      <c r="AG61" s="10"/>
      <c r="AH61" s="44">
        <f t="shared" si="1"/>
        <v>1421</v>
      </c>
    </row>
    <row r="62" spans="1:34" x14ac:dyDescent="0.25">
      <c r="A62" s="48" t="s">
        <v>106</v>
      </c>
      <c r="B62" s="71">
        <v>82</v>
      </c>
      <c r="C62" s="10"/>
      <c r="D62" s="10">
        <v>117</v>
      </c>
      <c r="E62" s="10">
        <v>27169.799999999996</v>
      </c>
      <c r="F62" s="10"/>
      <c r="G62" s="10">
        <v>274</v>
      </c>
      <c r="H62" s="10"/>
      <c r="I62" s="10">
        <v>642.70000000000005</v>
      </c>
      <c r="J62" s="10"/>
      <c r="K62" s="10">
        <v>309</v>
      </c>
      <c r="L62" s="10"/>
      <c r="M62" s="10"/>
      <c r="N62" s="10"/>
      <c r="O62" s="10"/>
      <c r="P62" s="10"/>
      <c r="Q62" s="10"/>
      <c r="R62" s="10"/>
      <c r="S62" s="10"/>
      <c r="T62" s="10"/>
      <c r="U62" s="10"/>
      <c r="V62" s="10"/>
      <c r="W62" s="10"/>
      <c r="X62" s="10"/>
      <c r="Y62" s="10"/>
      <c r="Z62" s="10"/>
      <c r="AA62" s="10"/>
      <c r="AB62" s="10"/>
      <c r="AC62" s="10"/>
      <c r="AD62" s="10"/>
      <c r="AE62" s="10"/>
      <c r="AF62" s="10"/>
      <c r="AG62" s="10"/>
      <c r="AH62" s="44">
        <f t="shared" si="1"/>
        <v>28512.499999999996</v>
      </c>
    </row>
    <row r="63" spans="1:34" x14ac:dyDescent="0.25">
      <c r="A63" s="48" t="s">
        <v>106</v>
      </c>
      <c r="B63" s="71">
        <v>83</v>
      </c>
      <c r="C63" s="10"/>
      <c r="D63" s="10"/>
      <c r="E63" s="10"/>
      <c r="F63" s="10"/>
      <c r="G63" s="10"/>
      <c r="H63" s="10">
        <v>149</v>
      </c>
      <c r="I63" s="10"/>
      <c r="J63" s="10">
        <v>1343</v>
      </c>
      <c r="K63" s="10"/>
      <c r="L63" s="10"/>
      <c r="M63" s="10"/>
      <c r="N63" s="10"/>
      <c r="O63" s="10"/>
      <c r="P63" s="10"/>
      <c r="Q63" s="10"/>
      <c r="R63" s="10"/>
      <c r="S63" s="10"/>
      <c r="T63" s="10"/>
      <c r="U63" s="10"/>
      <c r="V63" s="10"/>
      <c r="W63" s="10"/>
      <c r="X63" s="10"/>
      <c r="Y63" s="10"/>
      <c r="Z63" s="10"/>
      <c r="AA63" s="10"/>
      <c r="AB63" s="10"/>
      <c r="AC63" s="10"/>
      <c r="AD63" s="10"/>
      <c r="AE63" s="10"/>
      <c r="AF63" s="10"/>
      <c r="AG63" s="10"/>
      <c r="AH63" s="44">
        <f t="shared" si="1"/>
        <v>1492</v>
      </c>
    </row>
    <row r="64" spans="1:34" x14ac:dyDescent="0.25">
      <c r="A64" s="48" t="s">
        <v>106</v>
      </c>
      <c r="B64" s="71">
        <v>84</v>
      </c>
      <c r="C64" s="10">
        <v>4000</v>
      </c>
      <c r="D64" s="10">
        <v>6570</v>
      </c>
      <c r="E64" s="10">
        <v>826</v>
      </c>
      <c r="F64" s="10"/>
      <c r="G64" s="10">
        <v>348</v>
      </c>
      <c r="H64" s="10">
        <v>2532</v>
      </c>
      <c r="I64" s="10">
        <v>1000</v>
      </c>
      <c r="J64" s="10">
        <v>8868</v>
      </c>
      <c r="K64" s="10">
        <v>103643</v>
      </c>
      <c r="L64" s="10">
        <v>50741</v>
      </c>
      <c r="M64" s="10">
        <v>5673</v>
      </c>
      <c r="N64" s="10">
        <v>1000</v>
      </c>
      <c r="O64" s="10"/>
      <c r="P64" s="10"/>
      <c r="Q64" s="10"/>
      <c r="R64" s="10"/>
      <c r="S64" s="10"/>
      <c r="T64" s="10"/>
      <c r="U64" s="10"/>
      <c r="V64" s="10"/>
      <c r="W64" s="10"/>
      <c r="X64" s="10"/>
      <c r="Y64" s="10"/>
      <c r="Z64" s="10"/>
      <c r="AA64" s="10"/>
      <c r="AB64" s="10"/>
      <c r="AC64" s="10"/>
      <c r="AD64" s="10"/>
      <c r="AE64" s="10"/>
      <c r="AF64" s="10"/>
      <c r="AG64" s="10"/>
      <c r="AH64" s="44">
        <f t="shared" si="1"/>
        <v>185201</v>
      </c>
    </row>
    <row r="65" spans="1:34" x14ac:dyDescent="0.25">
      <c r="A65" s="48" t="s">
        <v>106</v>
      </c>
      <c r="B65" s="71">
        <v>85</v>
      </c>
      <c r="C65" s="10">
        <v>11990</v>
      </c>
      <c r="D65" s="10">
        <v>1172</v>
      </c>
      <c r="E65" s="10"/>
      <c r="F65" s="10"/>
      <c r="G65" s="10">
        <v>700</v>
      </c>
      <c r="H65" s="10">
        <v>48627</v>
      </c>
      <c r="I65" s="10">
        <v>22466.799999999999</v>
      </c>
      <c r="J65" s="10">
        <v>30918</v>
      </c>
      <c r="K65" s="10">
        <v>39522</v>
      </c>
      <c r="L65" s="10"/>
      <c r="M65" s="10">
        <v>3101</v>
      </c>
      <c r="N65" s="10">
        <v>2998</v>
      </c>
      <c r="O65" s="10"/>
      <c r="P65" s="10"/>
      <c r="Q65" s="10"/>
      <c r="R65" s="10"/>
      <c r="S65" s="10"/>
      <c r="T65" s="10"/>
      <c r="U65" s="10"/>
      <c r="V65" s="10"/>
      <c r="W65" s="10"/>
      <c r="X65" s="10"/>
      <c r="Y65" s="10"/>
      <c r="Z65" s="10"/>
      <c r="AA65" s="10"/>
      <c r="AB65" s="10"/>
      <c r="AC65" s="10"/>
      <c r="AD65" s="10"/>
      <c r="AE65" s="10"/>
      <c r="AF65" s="10"/>
      <c r="AG65" s="10"/>
      <c r="AH65" s="44">
        <f t="shared" si="1"/>
        <v>161494.79999999999</v>
      </c>
    </row>
    <row r="66" spans="1:34" x14ac:dyDescent="0.25">
      <c r="A66" s="48" t="s">
        <v>106</v>
      </c>
      <c r="B66" s="71">
        <v>86</v>
      </c>
      <c r="C66" s="10">
        <v>102113.60000000001</v>
      </c>
      <c r="D66" s="10">
        <v>21333.9</v>
      </c>
      <c r="E66" s="10">
        <v>8948</v>
      </c>
      <c r="F66" s="10">
        <v>6688.7</v>
      </c>
      <c r="G66" s="10">
        <v>1332</v>
      </c>
      <c r="H66" s="10">
        <v>191590</v>
      </c>
      <c r="I66" s="10">
        <v>78940.299999999988</v>
      </c>
      <c r="J66" s="10">
        <v>43830.7</v>
      </c>
      <c r="K66" s="10">
        <v>84368</v>
      </c>
      <c r="L66" s="10">
        <v>21257</v>
      </c>
      <c r="M66" s="10">
        <v>12070.9</v>
      </c>
      <c r="N66" s="10">
        <v>10660</v>
      </c>
      <c r="O66" s="10"/>
      <c r="P66" s="10"/>
      <c r="Q66" s="10"/>
      <c r="R66" s="10"/>
      <c r="S66" s="10"/>
      <c r="T66" s="10"/>
      <c r="U66" s="10"/>
      <c r="V66" s="10"/>
      <c r="W66" s="10"/>
      <c r="X66" s="10"/>
      <c r="Y66" s="10"/>
      <c r="Z66" s="10"/>
      <c r="AA66" s="10"/>
      <c r="AB66" s="10"/>
      <c r="AC66" s="10"/>
      <c r="AD66" s="10"/>
      <c r="AE66" s="10"/>
      <c r="AF66" s="10"/>
      <c r="AG66" s="10"/>
      <c r="AH66" s="44">
        <f t="shared" ref="AH66:AH87" si="2">SUM(C66:AG66)</f>
        <v>583133.1</v>
      </c>
    </row>
    <row r="67" spans="1:34" x14ac:dyDescent="0.25">
      <c r="A67" s="48" t="s">
        <v>106</v>
      </c>
      <c r="B67" s="71">
        <v>87</v>
      </c>
      <c r="C67" s="10">
        <v>5284.6</v>
      </c>
      <c r="D67" s="10">
        <v>939</v>
      </c>
      <c r="E67" s="10">
        <v>2095</v>
      </c>
      <c r="F67" s="10">
        <v>192</v>
      </c>
      <c r="G67" s="10">
        <v>4423</v>
      </c>
      <c r="H67" s="10">
        <v>3979</v>
      </c>
      <c r="I67" s="10">
        <v>5295.7</v>
      </c>
      <c r="J67" s="10">
        <v>6214</v>
      </c>
      <c r="K67" s="10">
        <v>4738.3</v>
      </c>
      <c r="L67" s="10"/>
      <c r="M67" s="10">
        <v>132</v>
      </c>
      <c r="N67" s="10"/>
      <c r="O67" s="10"/>
      <c r="P67" s="10"/>
      <c r="Q67" s="10"/>
      <c r="R67" s="10"/>
      <c r="S67" s="10"/>
      <c r="T67" s="10"/>
      <c r="U67" s="10"/>
      <c r="V67" s="10"/>
      <c r="W67" s="10"/>
      <c r="X67" s="10"/>
      <c r="Y67" s="10"/>
      <c r="Z67" s="10"/>
      <c r="AA67" s="10"/>
      <c r="AB67" s="10"/>
      <c r="AC67" s="10"/>
      <c r="AD67" s="10"/>
      <c r="AE67" s="10"/>
      <c r="AF67" s="10"/>
      <c r="AG67" s="10"/>
      <c r="AH67" s="44">
        <f t="shared" si="2"/>
        <v>33292.6</v>
      </c>
    </row>
    <row r="68" spans="1:34" x14ac:dyDescent="0.25">
      <c r="A68" s="48" t="s">
        <v>106</v>
      </c>
      <c r="B68" s="71">
        <v>89</v>
      </c>
      <c r="C68" s="10">
        <v>50970.689999999995</v>
      </c>
      <c r="D68" s="10">
        <v>50636.79</v>
      </c>
      <c r="E68" s="10">
        <v>53602.479999999989</v>
      </c>
      <c r="F68" s="10">
        <v>27617</v>
      </c>
      <c r="G68" s="10">
        <v>17226</v>
      </c>
      <c r="H68" s="10">
        <v>93837.201000000015</v>
      </c>
      <c r="I68" s="10">
        <v>138398.21000000002</v>
      </c>
      <c r="J68" s="10">
        <v>103768.79</v>
      </c>
      <c r="K68" s="10">
        <v>77130.2</v>
      </c>
      <c r="L68" s="10">
        <v>67650.399999999994</v>
      </c>
      <c r="M68" s="10">
        <v>52458.1</v>
      </c>
      <c r="N68" s="10">
        <v>7502.7</v>
      </c>
      <c r="O68" s="10"/>
      <c r="P68" s="10"/>
      <c r="Q68" s="10"/>
      <c r="R68" s="10"/>
      <c r="S68" s="10"/>
      <c r="T68" s="10"/>
      <c r="U68" s="10"/>
      <c r="V68" s="10"/>
      <c r="W68" s="10"/>
      <c r="X68" s="10"/>
      <c r="Y68" s="10"/>
      <c r="Z68" s="10"/>
      <c r="AA68" s="10"/>
      <c r="AB68" s="10"/>
      <c r="AC68" s="10"/>
      <c r="AD68" s="10"/>
      <c r="AE68" s="10"/>
      <c r="AF68" s="10"/>
      <c r="AG68" s="10"/>
      <c r="AH68" s="44">
        <f t="shared" si="2"/>
        <v>740798.56099999999</v>
      </c>
    </row>
    <row r="69" spans="1:34" x14ac:dyDescent="0.25">
      <c r="A69" s="48" t="s">
        <v>106</v>
      </c>
      <c r="B69" s="71">
        <v>90</v>
      </c>
      <c r="C69" s="10">
        <v>49985.1</v>
      </c>
      <c r="D69" s="10">
        <v>70809.289999999994</v>
      </c>
      <c r="E69" s="10">
        <v>52658.499999999993</v>
      </c>
      <c r="F69" s="10">
        <v>30454.6</v>
      </c>
      <c r="G69" s="10">
        <v>23791</v>
      </c>
      <c r="H69" s="10">
        <v>59149.7</v>
      </c>
      <c r="I69" s="10">
        <v>73069.3</v>
      </c>
      <c r="J69" s="10">
        <v>69290.400000000009</v>
      </c>
      <c r="K69" s="10">
        <v>82283.990000000005</v>
      </c>
      <c r="L69" s="10">
        <v>43006.400000000001</v>
      </c>
      <c r="M69" s="10">
        <v>30676</v>
      </c>
      <c r="N69" s="10">
        <v>24887.1</v>
      </c>
      <c r="O69" s="10"/>
      <c r="P69" s="10"/>
      <c r="Q69" s="10"/>
      <c r="R69" s="10"/>
      <c r="S69" s="10"/>
      <c r="T69" s="10"/>
      <c r="U69" s="10"/>
      <c r="V69" s="10"/>
      <c r="W69" s="10"/>
      <c r="X69" s="10"/>
      <c r="Y69" s="10"/>
      <c r="Z69" s="10"/>
      <c r="AA69" s="10"/>
      <c r="AB69" s="10"/>
      <c r="AC69" s="10"/>
      <c r="AD69" s="10"/>
      <c r="AE69" s="10"/>
      <c r="AF69" s="10"/>
      <c r="AG69" s="10"/>
      <c r="AH69" s="44">
        <f t="shared" si="2"/>
        <v>610061.38</v>
      </c>
    </row>
    <row r="70" spans="1:34" x14ac:dyDescent="0.25">
      <c r="A70" s="48" t="s">
        <v>106</v>
      </c>
      <c r="B70" s="71">
        <v>91</v>
      </c>
      <c r="C70" s="10">
        <v>97682.7</v>
      </c>
      <c r="D70" s="10">
        <v>167623</v>
      </c>
      <c r="E70" s="10">
        <v>142087.5</v>
      </c>
      <c r="F70" s="10">
        <v>70766.3</v>
      </c>
      <c r="G70" s="10">
        <v>59144.6</v>
      </c>
      <c r="H70" s="10">
        <v>249110.50000000003</v>
      </c>
      <c r="I70" s="10">
        <v>328378.67999999993</v>
      </c>
      <c r="J70" s="10">
        <v>250763.7</v>
      </c>
      <c r="K70" s="10">
        <v>611543.29000000015</v>
      </c>
      <c r="L70" s="10">
        <v>225763.6</v>
      </c>
      <c r="M70" s="10">
        <v>208072.19999999998</v>
      </c>
      <c r="N70" s="10">
        <v>63533.5</v>
      </c>
      <c r="O70" s="10"/>
      <c r="P70" s="10"/>
      <c r="Q70" s="10"/>
      <c r="R70" s="10"/>
      <c r="S70" s="10"/>
      <c r="T70" s="10"/>
      <c r="U70" s="10"/>
      <c r="V70" s="10"/>
      <c r="W70" s="10"/>
      <c r="X70" s="10"/>
      <c r="Y70" s="10"/>
      <c r="Z70" s="10"/>
      <c r="AA70" s="10"/>
      <c r="AB70" s="10"/>
      <c r="AC70" s="10"/>
      <c r="AD70" s="10"/>
      <c r="AE70" s="10"/>
      <c r="AF70" s="10"/>
      <c r="AG70" s="10"/>
      <c r="AH70" s="44">
        <f t="shared" si="2"/>
        <v>2474469.5700000003</v>
      </c>
    </row>
    <row r="71" spans="1:34" x14ac:dyDescent="0.25">
      <c r="A71" s="48" t="s">
        <v>106</v>
      </c>
      <c r="B71" s="71">
        <v>92</v>
      </c>
      <c r="C71" s="10">
        <v>21716.5</v>
      </c>
      <c r="D71" s="10">
        <v>62030.29</v>
      </c>
      <c r="E71" s="10">
        <v>69541</v>
      </c>
      <c r="F71" s="10">
        <v>7100.6</v>
      </c>
      <c r="G71" s="10">
        <v>5258</v>
      </c>
      <c r="H71" s="10">
        <v>117666.7</v>
      </c>
      <c r="I71" s="10">
        <v>170328.5</v>
      </c>
      <c r="J71" s="10">
        <v>146397.6</v>
      </c>
      <c r="K71" s="10">
        <v>82645.099999999977</v>
      </c>
      <c r="L71" s="10">
        <v>115687.2</v>
      </c>
      <c r="M71" s="10">
        <v>73082.8</v>
      </c>
      <c r="N71" s="10">
        <v>42569.600000000006</v>
      </c>
      <c r="O71" s="10"/>
      <c r="P71" s="10"/>
      <c r="Q71" s="10"/>
      <c r="R71" s="10"/>
      <c r="S71" s="10"/>
      <c r="T71" s="10"/>
      <c r="U71" s="10"/>
      <c r="V71" s="10"/>
      <c r="W71" s="10"/>
      <c r="X71" s="10"/>
      <c r="Y71" s="10"/>
      <c r="Z71" s="10"/>
      <c r="AA71" s="10"/>
      <c r="AB71" s="10"/>
      <c r="AC71" s="10"/>
      <c r="AD71" s="10"/>
      <c r="AE71" s="10"/>
      <c r="AF71" s="10"/>
      <c r="AG71" s="10"/>
      <c r="AH71" s="44">
        <f t="shared" si="2"/>
        <v>914023.89</v>
      </c>
    </row>
    <row r="72" spans="1:34" x14ac:dyDescent="0.25">
      <c r="A72" s="48" t="s">
        <v>106</v>
      </c>
      <c r="B72" s="71">
        <v>93</v>
      </c>
      <c r="C72" s="10">
        <v>33379.800000000003</v>
      </c>
      <c r="D72" s="10">
        <v>47561.4</v>
      </c>
      <c r="E72" s="10">
        <v>45597.700000000004</v>
      </c>
      <c r="F72" s="10">
        <v>14047</v>
      </c>
      <c r="G72" s="10">
        <v>3919</v>
      </c>
      <c r="H72" s="10">
        <v>47081</v>
      </c>
      <c r="I72" s="10">
        <v>40052.69000000001</v>
      </c>
      <c r="J72" s="10">
        <v>27107.3</v>
      </c>
      <c r="K72" s="10">
        <v>111706.4</v>
      </c>
      <c r="L72" s="10">
        <v>74141.2</v>
      </c>
      <c r="M72" s="10">
        <v>55133.299999999996</v>
      </c>
      <c r="N72" s="10">
        <v>19175</v>
      </c>
      <c r="O72" s="10"/>
      <c r="P72" s="10"/>
      <c r="Q72" s="10"/>
      <c r="R72" s="10"/>
      <c r="S72" s="10"/>
      <c r="T72" s="10"/>
      <c r="U72" s="10"/>
      <c r="V72" s="10"/>
      <c r="W72" s="10"/>
      <c r="X72" s="10"/>
      <c r="Y72" s="10"/>
      <c r="Z72" s="10"/>
      <c r="AA72" s="10"/>
      <c r="AB72" s="10"/>
      <c r="AC72" s="10"/>
      <c r="AD72" s="10"/>
      <c r="AE72" s="10"/>
      <c r="AF72" s="10"/>
      <c r="AG72" s="10"/>
      <c r="AH72" s="44">
        <f t="shared" si="2"/>
        <v>518901.79000000004</v>
      </c>
    </row>
    <row r="73" spans="1:34" x14ac:dyDescent="0.25">
      <c r="A73" s="48" t="s">
        <v>106</v>
      </c>
      <c r="B73" s="71">
        <v>94</v>
      </c>
      <c r="C73" s="10">
        <v>50000.5</v>
      </c>
      <c r="D73" s="10">
        <v>92426.9</v>
      </c>
      <c r="E73" s="10">
        <v>38812.5</v>
      </c>
      <c r="F73" s="10">
        <v>9431.5</v>
      </c>
      <c r="G73" s="10">
        <v>9765</v>
      </c>
      <c r="H73" s="10">
        <v>36828</v>
      </c>
      <c r="I73" s="10">
        <v>62620.989999999991</v>
      </c>
      <c r="J73" s="10">
        <v>85617.7</v>
      </c>
      <c r="K73" s="10">
        <v>56028.200000000004</v>
      </c>
      <c r="L73" s="10">
        <v>57364.5</v>
      </c>
      <c r="M73" s="10">
        <v>43804.7</v>
      </c>
      <c r="N73" s="10">
        <v>14037.7</v>
      </c>
      <c r="O73" s="10"/>
      <c r="P73" s="10"/>
      <c r="Q73" s="10"/>
      <c r="R73" s="10"/>
      <c r="S73" s="10"/>
      <c r="T73" s="10"/>
      <c r="U73" s="10"/>
      <c r="V73" s="10"/>
      <c r="W73" s="10"/>
      <c r="X73" s="10"/>
      <c r="Y73" s="10"/>
      <c r="Z73" s="10"/>
      <c r="AA73" s="10"/>
      <c r="AB73" s="10"/>
      <c r="AC73" s="10"/>
      <c r="AD73" s="10"/>
      <c r="AE73" s="10"/>
      <c r="AF73" s="10"/>
      <c r="AG73" s="10"/>
      <c r="AH73" s="44">
        <f t="shared" si="2"/>
        <v>556738.18999999994</v>
      </c>
    </row>
    <row r="74" spans="1:34" x14ac:dyDescent="0.25">
      <c r="A74" s="48" t="s">
        <v>106</v>
      </c>
      <c r="B74" s="71">
        <v>95</v>
      </c>
      <c r="C74" s="10">
        <v>69967</v>
      </c>
      <c r="D74" s="10">
        <v>37150.700000000004</v>
      </c>
      <c r="E74" s="10">
        <v>68210.7</v>
      </c>
      <c r="F74" s="10">
        <v>15185</v>
      </c>
      <c r="G74" s="10">
        <v>12101.1</v>
      </c>
      <c r="H74" s="10">
        <v>74019</v>
      </c>
      <c r="I74" s="10">
        <v>86946.4</v>
      </c>
      <c r="J74" s="10">
        <v>163805.29999999996</v>
      </c>
      <c r="K74" s="10">
        <v>188247.4</v>
      </c>
      <c r="L74" s="10">
        <v>110762.99999999999</v>
      </c>
      <c r="M74" s="10">
        <v>126387</v>
      </c>
      <c r="N74" s="10">
        <v>29782</v>
      </c>
      <c r="O74" s="10"/>
      <c r="P74" s="10"/>
      <c r="Q74" s="10"/>
      <c r="R74" s="10"/>
      <c r="S74" s="10"/>
      <c r="T74" s="10"/>
      <c r="U74" s="10"/>
      <c r="V74" s="10"/>
      <c r="W74" s="10"/>
      <c r="X74" s="10"/>
      <c r="Y74" s="10"/>
      <c r="Z74" s="10"/>
      <c r="AA74" s="10"/>
      <c r="AB74" s="10"/>
      <c r="AC74" s="10"/>
      <c r="AD74" s="10"/>
      <c r="AE74" s="10"/>
      <c r="AF74" s="10"/>
      <c r="AG74" s="10"/>
      <c r="AH74" s="44">
        <f t="shared" si="2"/>
        <v>982564.6</v>
      </c>
    </row>
    <row r="75" spans="1:34" x14ac:dyDescent="0.25">
      <c r="A75" s="48" t="s">
        <v>106</v>
      </c>
      <c r="B75" s="71">
        <v>96</v>
      </c>
      <c r="C75" s="10">
        <v>51194.5</v>
      </c>
      <c r="D75" s="10">
        <v>251999.30000000002</v>
      </c>
      <c r="E75" s="10">
        <v>86105.3</v>
      </c>
      <c r="F75" s="10">
        <v>23056.2</v>
      </c>
      <c r="G75" s="10">
        <v>28872.899999999998</v>
      </c>
      <c r="H75" s="10">
        <v>104332.5</v>
      </c>
      <c r="I75" s="10">
        <v>136851.46999999994</v>
      </c>
      <c r="J75" s="10">
        <v>238907.00000000003</v>
      </c>
      <c r="K75" s="10">
        <v>237488.19999999998</v>
      </c>
      <c r="L75" s="10">
        <v>139894.09999999998</v>
      </c>
      <c r="M75" s="10">
        <v>91544</v>
      </c>
      <c r="N75" s="10">
        <v>69990.399999999994</v>
      </c>
      <c r="O75" s="10"/>
      <c r="P75" s="10"/>
      <c r="Q75" s="10"/>
      <c r="R75" s="10"/>
      <c r="S75" s="10"/>
      <c r="T75" s="10"/>
      <c r="U75" s="10"/>
      <c r="V75" s="10"/>
      <c r="W75" s="10"/>
      <c r="X75" s="10"/>
      <c r="Y75" s="10"/>
      <c r="Z75" s="10"/>
      <c r="AA75" s="10"/>
      <c r="AB75" s="10"/>
      <c r="AC75" s="10"/>
      <c r="AD75" s="10"/>
      <c r="AE75" s="10"/>
      <c r="AF75" s="10"/>
      <c r="AG75" s="10"/>
      <c r="AH75" s="44">
        <f t="shared" si="2"/>
        <v>1460235.87</v>
      </c>
    </row>
    <row r="76" spans="1:34" x14ac:dyDescent="0.25">
      <c r="A76" s="48" t="s">
        <v>106</v>
      </c>
      <c r="B76" s="71">
        <v>97</v>
      </c>
      <c r="C76" s="10">
        <v>213352.49</v>
      </c>
      <c r="D76" s="10">
        <v>144000.49</v>
      </c>
      <c r="E76" s="10">
        <v>96846.000000000015</v>
      </c>
      <c r="F76" s="10">
        <v>25327</v>
      </c>
      <c r="G76" s="10">
        <v>23303</v>
      </c>
      <c r="H76" s="10">
        <v>175532.3</v>
      </c>
      <c r="I76" s="10">
        <v>188392.3</v>
      </c>
      <c r="J76" s="10">
        <v>143769.99000000002</v>
      </c>
      <c r="K76" s="10">
        <v>140668.79999999999</v>
      </c>
      <c r="L76" s="10">
        <v>142203.70000000001</v>
      </c>
      <c r="M76" s="10">
        <v>229788.50000000003</v>
      </c>
      <c r="N76" s="10">
        <v>98055.9</v>
      </c>
      <c r="O76" s="10"/>
      <c r="P76" s="10"/>
      <c r="Q76" s="10"/>
      <c r="R76" s="10"/>
      <c r="S76" s="10"/>
      <c r="T76" s="10"/>
      <c r="U76" s="10"/>
      <c r="V76" s="10"/>
      <c r="W76" s="10"/>
      <c r="X76" s="10"/>
      <c r="Y76" s="10"/>
      <c r="Z76" s="10"/>
      <c r="AA76" s="10"/>
      <c r="AB76" s="10"/>
      <c r="AC76" s="10"/>
      <c r="AD76" s="10"/>
      <c r="AE76" s="10"/>
      <c r="AF76" s="10"/>
      <c r="AG76" s="10"/>
      <c r="AH76" s="44">
        <f t="shared" si="2"/>
        <v>1621240.47</v>
      </c>
    </row>
    <row r="77" spans="1:34" x14ac:dyDescent="0.25">
      <c r="A77" s="48" t="s">
        <v>106</v>
      </c>
      <c r="B77" s="71">
        <v>98</v>
      </c>
      <c r="C77" s="10">
        <v>40893.49</v>
      </c>
      <c r="D77" s="10">
        <v>47877.9</v>
      </c>
      <c r="E77" s="10">
        <v>46145.1</v>
      </c>
      <c r="F77" s="10">
        <v>4453</v>
      </c>
      <c r="G77" s="10">
        <v>8260</v>
      </c>
      <c r="H77" s="10">
        <v>77570.5</v>
      </c>
      <c r="I77" s="10">
        <v>65980.7</v>
      </c>
      <c r="J77" s="10">
        <v>94588.02</v>
      </c>
      <c r="K77" s="10">
        <v>41873.4</v>
      </c>
      <c r="L77" s="10">
        <v>31757.599999999999</v>
      </c>
      <c r="M77" s="10">
        <v>20558.2</v>
      </c>
      <c r="N77" s="10">
        <v>14966.099999999999</v>
      </c>
      <c r="O77" s="10"/>
      <c r="P77" s="10"/>
      <c r="Q77" s="10"/>
      <c r="R77" s="10"/>
      <c r="S77" s="10"/>
      <c r="T77" s="10"/>
      <c r="U77" s="10"/>
      <c r="V77" s="10"/>
      <c r="W77" s="10"/>
      <c r="X77" s="10"/>
      <c r="Y77" s="10"/>
      <c r="Z77" s="10"/>
      <c r="AA77" s="10"/>
      <c r="AB77" s="10"/>
      <c r="AC77" s="10"/>
      <c r="AD77" s="10"/>
      <c r="AE77" s="10"/>
      <c r="AF77" s="10"/>
      <c r="AG77" s="10"/>
      <c r="AH77" s="44">
        <f t="shared" si="2"/>
        <v>494924.01</v>
      </c>
    </row>
    <row r="78" spans="1:34" x14ac:dyDescent="0.25">
      <c r="A78" s="48" t="s">
        <v>106</v>
      </c>
      <c r="B78" s="71">
        <v>99</v>
      </c>
      <c r="C78" s="10">
        <v>48303.7</v>
      </c>
      <c r="D78" s="10">
        <v>39131.800000000003</v>
      </c>
      <c r="E78" s="10">
        <v>50895.9</v>
      </c>
      <c r="F78" s="10">
        <v>7823.0999999999995</v>
      </c>
      <c r="G78" s="10">
        <v>7327</v>
      </c>
      <c r="H78" s="10">
        <v>51548</v>
      </c>
      <c r="I78" s="10">
        <v>40064.400000000001</v>
      </c>
      <c r="J78" s="10">
        <v>59349.69</v>
      </c>
      <c r="K78" s="10">
        <v>51249.899999999994</v>
      </c>
      <c r="L78" s="10">
        <v>119668</v>
      </c>
      <c r="M78" s="10">
        <v>22786.2</v>
      </c>
      <c r="N78" s="10">
        <v>14191.2</v>
      </c>
      <c r="O78" s="10"/>
      <c r="P78" s="10"/>
      <c r="Q78" s="10"/>
      <c r="R78" s="10"/>
      <c r="S78" s="10"/>
      <c r="T78" s="10"/>
      <c r="U78" s="10"/>
      <c r="V78" s="10"/>
      <c r="W78" s="10"/>
      <c r="X78" s="10"/>
      <c r="Y78" s="10"/>
      <c r="Z78" s="10"/>
      <c r="AA78" s="10"/>
      <c r="AB78" s="10"/>
      <c r="AC78" s="10"/>
      <c r="AD78" s="10"/>
      <c r="AE78" s="10"/>
      <c r="AF78" s="10"/>
      <c r="AG78" s="10"/>
      <c r="AH78" s="44">
        <f t="shared" si="2"/>
        <v>512338.89</v>
      </c>
    </row>
    <row r="79" spans="1:34" x14ac:dyDescent="0.25">
      <c r="A79" s="48" t="s">
        <v>106</v>
      </c>
      <c r="B79" s="71">
        <v>101</v>
      </c>
      <c r="C79" s="10"/>
      <c r="D79" s="10">
        <v>6927</v>
      </c>
      <c r="E79" s="10"/>
      <c r="F79" s="10"/>
      <c r="G79" s="10"/>
      <c r="H79" s="10"/>
      <c r="I79" s="10">
        <v>200</v>
      </c>
      <c r="J79" s="10"/>
      <c r="K79" s="10">
        <v>756</v>
      </c>
      <c r="L79" s="10"/>
      <c r="M79" s="10">
        <v>746</v>
      </c>
      <c r="N79" s="10"/>
      <c r="O79" s="10"/>
      <c r="P79" s="10"/>
      <c r="Q79" s="10"/>
      <c r="R79" s="10"/>
      <c r="S79" s="10"/>
      <c r="T79" s="10"/>
      <c r="U79" s="10"/>
      <c r="V79" s="10"/>
      <c r="W79" s="10"/>
      <c r="X79" s="10"/>
      <c r="Y79" s="10"/>
      <c r="Z79" s="10"/>
      <c r="AA79" s="10"/>
      <c r="AB79" s="10"/>
      <c r="AC79" s="10"/>
      <c r="AD79" s="10"/>
      <c r="AE79" s="10"/>
      <c r="AF79" s="10"/>
      <c r="AG79" s="10"/>
      <c r="AH79" s="44">
        <f t="shared" si="2"/>
        <v>8629</v>
      </c>
    </row>
    <row r="80" spans="1:34" x14ac:dyDescent="0.25">
      <c r="A80" s="48" t="s">
        <v>106</v>
      </c>
      <c r="B80" s="71">
        <v>103</v>
      </c>
      <c r="C80" s="10">
        <v>4716</v>
      </c>
      <c r="D80" s="10">
        <v>3429</v>
      </c>
      <c r="E80" s="10">
        <v>4546</v>
      </c>
      <c r="F80" s="10">
        <v>441</v>
      </c>
      <c r="G80" s="10">
        <v>1080</v>
      </c>
      <c r="H80" s="10">
        <v>3153</v>
      </c>
      <c r="I80" s="10">
        <v>4250</v>
      </c>
      <c r="J80" s="10">
        <v>2465</v>
      </c>
      <c r="K80" s="10">
        <v>5240</v>
      </c>
      <c r="L80" s="10">
        <v>4422.3</v>
      </c>
      <c r="M80" s="10">
        <v>1352</v>
      </c>
      <c r="N80" s="10">
        <v>6939</v>
      </c>
      <c r="O80" s="10"/>
      <c r="P80" s="10"/>
      <c r="Q80" s="10"/>
      <c r="R80" s="10"/>
      <c r="S80" s="10"/>
      <c r="T80" s="10"/>
      <c r="U80" s="10"/>
      <c r="V80" s="10"/>
      <c r="W80" s="10"/>
      <c r="X80" s="10"/>
      <c r="Y80" s="10"/>
      <c r="Z80" s="10"/>
      <c r="AA80" s="10"/>
      <c r="AB80" s="10"/>
      <c r="AC80" s="10"/>
      <c r="AD80" s="10"/>
      <c r="AE80" s="10"/>
      <c r="AF80" s="10"/>
      <c r="AG80" s="10"/>
      <c r="AH80" s="44">
        <f t="shared" si="2"/>
        <v>42033.3</v>
      </c>
    </row>
    <row r="81" spans="1:34" x14ac:dyDescent="0.25">
      <c r="A81" s="48" t="s">
        <v>106</v>
      </c>
      <c r="B81" s="71">
        <v>104</v>
      </c>
      <c r="C81" s="10">
        <v>2303</v>
      </c>
      <c r="D81" s="10">
        <v>1903</v>
      </c>
      <c r="E81" s="10">
        <v>2546</v>
      </c>
      <c r="F81" s="10">
        <v>350</v>
      </c>
      <c r="G81" s="10"/>
      <c r="H81" s="10"/>
      <c r="I81" s="10">
        <v>320</v>
      </c>
      <c r="J81" s="10"/>
      <c r="K81" s="10"/>
      <c r="L81" s="10">
        <v>4309</v>
      </c>
      <c r="M81" s="10"/>
      <c r="N81" s="10"/>
      <c r="O81" s="10"/>
      <c r="P81" s="10"/>
      <c r="Q81" s="10"/>
      <c r="R81" s="10"/>
      <c r="S81" s="10"/>
      <c r="T81" s="10"/>
      <c r="U81" s="10"/>
      <c r="V81" s="10"/>
      <c r="W81" s="10"/>
      <c r="X81" s="10"/>
      <c r="Y81" s="10"/>
      <c r="Z81" s="10"/>
      <c r="AA81" s="10"/>
      <c r="AB81" s="10"/>
      <c r="AC81" s="10"/>
      <c r="AD81" s="10"/>
      <c r="AE81" s="10"/>
      <c r="AF81" s="10"/>
      <c r="AG81" s="10"/>
      <c r="AH81" s="44">
        <f t="shared" si="2"/>
        <v>11731</v>
      </c>
    </row>
    <row r="82" spans="1:34" x14ac:dyDescent="0.25">
      <c r="A82" s="48" t="s">
        <v>106</v>
      </c>
      <c r="B82" s="71">
        <v>105</v>
      </c>
      <c r="C82" s="10">
        <v>15176.1</v>
      </c>
      <c r="D82" s="10">
        <v>6753.5</v>
      </c>
      <c r="E82" s="10">
        <v>1394.7</v>
      </c>
      <c r="F82" s="10">
        <v>289</v>
      </c>
      <c r="G82" s="10"/>
      <c r="H82" s="10">
        <v>500</v>
      </c>
      <c r="I82" s="10">
        <v>800</v>
      </c>
      <c r="J82" s="10">
        <v>2843.5</v>
      </c>
      <c r="K82" s="10">
        <v>1009.9000000000001</v>
      </c>
      <c r="L82" s="10">
        <v>725</v>
      </c>
      <c r="M82" s="10">
        <v>241</v>
      </c>
      <c r="N82" s="10">
        <v>1950</v>
      </c>
      <c r="O82" s="10"/>
      <c r="P82" s="10"/>
      <c r="Q82" s="10"/>
      <c r="R82" s="10"/>
      <c r="S82" s="10"/>
      <c r="T82" s="10"/>
      <c r="U82" s="10"/>
      <c r="V82" s="10"/>
      <c r="W82" s="10"/>
      <c r="X82" s="10"/>
      <c r="Y82" s="10"/>
      <c r="Z82" s="10"/>
      <c r="AA82" s="10"/>
      <c r="AB82" s="10"/>
      <c r="AC82" s="10"/>
      <c r="AD82" s="10"/>
      <c r="AE82" s="10"/>
      <c r="AF82" s="10"/>
      <c r="AG82" s="10"/>
      <c r="AH82" s="44">
        <f t="shared" si="2"/>
        <v>31682.7</v>
      </c>
    </row>
    <row r="83" spans="1:34" x14ac:dyDescent="0.25">
      <c r="A83" s="48" t="s">
        <v>106</v>
      </c>
      <c r="B83" s="71">
        <v>106</v>
      </c>
      <c r="C83" s="10"/>
      <c r="D83" s="10"/>
      <c r="E83" s="10"/>
      <c r="F83" s="10">
        <v>902</v>
      </c>
      <c r="G83" s="10"/>
      <c r="H83" s="10"/>
      <c r="I83" s="10"/>
      <c r="J83" s="10">
        <v>290</v>
      </c>
      <c r="K83" s="10"/>
      <c r="L83" s="10"/>
      <c r="M83" s="10"/>
      <c r="N83" s="10"/>
      <c r="O83" s="10"/>
      <c r="P83" s="10"/>
      <c r="Q83" s="10"/>
      <c r="R83" s="10"/>
      <c r="S83" s="10"/>
      <c r="T83" s="10"/>
      <c r="U83" s="10"/>
      <c r="V83" s="10"/>
      <c r="W83" s="10"/>
      <c r="X83" s="10"/>
      <c r="Y83" s="10"/>
      <c r="Z83" s="10"/>
      <c r="AA83" s="10"/>
      <c r="AB83" s="10"/>
      <c r="AC83" s="10"/>
      <c r="AD83" s="10"/>
      <c r="AE83" s="10"/>
      <c r="AF83" s="10"/>
      <c r="AG83" s="10"/>
      <c r="AH83" s="44">
        <f t="shared" si="2"/>
        <v>1192</v>
      </c>
    </row>
    <row r="84" spans="1:34" x14ac:dyDescent="0.25">
      <c r="A84" s="48" t="s">
        <v>106</v>
      </c>
      <c r="B84" s="71">
        <v>107</v>
      </c>
      <c r="C84" s="10"/>
      <c r="D84" s="10"/>
      <c r="E84" s="10">
        <v>190</v>
      </c>
      <c r="F84" s="10"/>
      <c r="G84" s="10"/>
      <c r="H84" s="10">
        <v>793</v>
      </c>
      <c r="I84" s="10"/>
      <c r="J84" s="10"/>
      <c r="K84" s="10"/>
      <c r="L84" s="10"/>
      <c r="M84" s="10"/>
      <c r="N84" s="10"/>
      <c r="O84" s="10"/>
      <c r="P84" s="10"/>
      <c r="Q84" s="10"/>
      <c r="R84" s="10"/>
      <c r="S84" s="10"/>
      <c r="T84" s="10"/>
      <c r="U84" s="10"/>
      <c r="V84" s="10"/>
      <c r="W84" s="10"/>
      <c r="X84" s="10"/>
      <c r="Y84" s="10"/>
      <c r="Z84" s="10"/>
      <c r="AA84" s="10"/>
      <c r="AB84" s="10"/>
      <c r="AC84" s="10"/>
      <c r="AD84" s="10"/>
      <c r="AE84" s="10"/>
      <c r="AF84" s="10"/>
      <c r="AG84" s="10"/>
      <c r="AH84" s="44">
        <f t="shared" si="2"/>
        <v>983</v>
      </c>
    </row>
    <row r="85" spans="1:34" x14ac:dyDescent="0.25">
      <c r="A85" s="48" t="s">
        <v>106</v>
      </c>
      <c r="B85" s="71">
        <v>108</v>
      </c>
      <c r="C85" s="10">
        <v>187</v>
      </c>
      <c r="D85" s="10"/>
      <c r="E85" s="10">
        <v>400</v>
      </c>
      <c r="F85" s="10"/>
      <c r="G85" s="10"/>
      <c r="H85" s="10"/>
      <c r="I85" s="10"/>
      <c r="J85" s="10"/>
      <c r="K85" s="10"/>
      <c r="L85" s="10">
        <v>600</v>
      </c>
      <c r="M85" s="10"/>
      <c r="N85" s="10"/>
      <c r="O85" s="10"/>
      <c r="P85" s="10"/>
      <c r="Q85" s="10"/>
      <c r="R85" s="10"/>
      <c r="S85" s="10"/>
      <c r="T85" s="10"/>
      <c r="U85" s="10"/>
      <c r="V85" s="10"/>
      <c r="W85" s="10"/>
      <c r="X85" s="10"/>
      <c r="Y85" s="10"/>
      <c r="Z85" s="10"/>
      <c r="AA85" s="10"/>
      <c r="AB85" s="10"/>
      <c r="AC85" s="10"/>
      <c r="AD85" s="10"/>
      <c r="AE85" s="10"/>
      <c r="AF85" s="10"/>
      <c r="AG85" s="10"/>
      <c r="AH85" s="44">
        <f t="shared" si="2"/>
        <v>1187</v>
      </c>
    </row>
    <row r="86" spans="1:34" x14ac:dyDescent="0.25">
      <c r="A86" s="48" t="s">
        <v>106</v>
      </c>
      <c r="B86" s="71"/>
      <c r="C86" s="10"/>
      <c r="D86" s="10"/>
      <c r="E86" s="10"/>
      <c r="F86" s="10"/>
      <c r="G86" s="10"/>
      <c r="H86" s="10"/>
      <c r="I86" s="10"/>
      <c r="J86" s="10"/>
      <c r="K86" s="10"/>
      <c r="L86" s="10"/>
      <c r="M86" s="10"/>
      <c r="N86" s="10"/>
      <c r="O86" s="10"/>
      <c r="P86" s="10"/>
      <c r="Q86" s="10"/>
      <c r="R86" s="10"/>
      <c r="S86" s="10"/>
      <c r="T86" s="10"/>
      <c r="U86" s="10"/>
      <c r="V86" s="10"/>
      <c r="W86" s="10"/>
      <c r="X86" s="10"/>
      <c r="Y86" s="10"/>
      <c r="Z86" s="10"/>
      <c r="AA86" s="10"/>
      <c r="AB86" s="10"/>
      <c r="AC86" s="10"/>
      <c r="AD86" s="10"/>
      <c r="AE86" s="10"/>
      <c r="AF86" s="10"/>
      <c r="AG86" s="10"/>
      <c r="AH86" s="44">
        <f t="shared" si="2"/>
        <v>0</v>
      </c>
    </row>
    <row r="87" spans="1:34" x14ac:dyDescent="0.25">
      <c r="A87" s="48" t="s">
        <v>106</v>
      </c>
      <c r="B87" s="52"/>
      <c r="C87" s="10"/>
      <c r="D87" s="10"/>
      <c r="E87" s="10"/>
      <c r="F87" s="10"/>
      <c r="G87" s="10"/>
      <c r="H87" s="10"/>
      <c r="I87" s="10"/>
      <c r="J87" s="10"/>
      <c r="K87" s="10"/>
      <c r="L87" s="10"/>
      <c r="M87" s="10"/>
      <c r="N87" s="10"/>
      <c r="O87" s="10"/>
      <c r="P87" s="10"/>
      <c r="Q87" s="10"/>
      <c r="R87" s="10"/>
      <c r="S87" s="10"/>
      <c r="T87" s="10"/>
      <c r="U87" s="10"/>
      <c r="V87" s="10"/>
      <c r="W87" s="10"/>
      <c r="X87" s="10"/>
      <c r="Y87" s="10"/>
      <c r="Z87" s="10"/>
      <c r="AA87" s="10"/>
      <c r="AB87" s="10"/>
      <c r="AC87" s="10"/>
      <c r="AD87" s="10"/>
      <c r="AE87" s="10"/>
      <c r="AF87" s="10"/>
      <c r="AG87" s="10"/>
      <c r="AH87" s="44">
        <f t="shared" si="2"/>
        <v>0</v>
      </c>
    </row>
    <row r="88" spans="1:34" x14ac:dyDescent="0.25">
      <c r="A88" s="42" t="s">
        <v>108</v>
      </c>
      <c r="B88" s="42" t="s">
        <v>124</v>
      </c>
      <c r="C88" s="43">
        <f t="shared" ref="C88:P88" si="3">SUM(C2:C87)</f>
        <v>2555243.9599877936</v>
      </c>
      <c r="D88" s="43">
        <f t="shared" si="3"/>
        <v>2817686.1199999996</v>
      </c>
      <c r="E88" s="43">
        <f t="shared" si="3"/>
        <v>1872276.37</v>
      </c>
      <c r="F88" s="43">
        <f t="shared" si="3"/>
        <v>613207.89999999979</v>
      </c>
      <c r="G88" s="43">
        <f t="shared" si="3"/>
        <v>407021.8</v>
      </c>
      <c r="H88" s="43">
        <f t="shared" si="3"/>
        <v>3485588.2010000004</v>
      </c>
      <c r="I88" s="43">
        <f t="shared" si="3"/>
        <v>3550223.879999998</v>
      </c>
      <c r="J88" s="43">
        <f t="shared" si="3"/>
        <v>3174921.8420000002</v>
      </c>
      <c r="K88" s="43">
        <f t="shared" si="3"/>
        <v>4181788.5300000007</v>
      </c>
      <c r="L88" s="43">
        <f t="shared" si="3"/>
        <v>2942768.74</v>
      </c>
      <c r="M88" s="43">
        <f t="shared" si="3"/>
        <v>2066802.3</v>
      </c>
      <c r="N88" s="43">
        <f t="shared" si="3"/>
        <v>997326.89999999979</v>
      </c>
      <c r="O88" s="43">
        <f t="shared" si="3"/>
        <v>0</v>
      </c>
      <c r="P88" s="43">
        <f t="shared" si="3"/>
        <v>0</v>
      </c>
      <c r="Q88" s="43">
        <f>SUM(Q2:Q87)</f>
        <v>0</v>
      </c>
      <c r="R88" s="43">
        <f t="shared" ref="R88" si="4">SUM(R2:R87)</f>
        <v>0</v>
      </c>
      <c r="S88" s="43">
        <f t="shared" ref="S88" si="5">SUM(S2:S87)</f>
        <v>0</v>
      </c>
      <c r="T88" s="43">
        <f t="shared" ref="T88" si="6">SUM(T2:T87)</f>
        <v>0</v>
      </c>
      <c r="U88" s="43">
        <f t="shared" ref="U88" si="7">SUM(U2:U87)</f>
        <v>0</v>
      </c>
      <c r="V88" s="43">
        <f t="shared" ref="V88" si="8">SUM(V2:V87)</f>
        <v>0</v>
      </c>
      <c r="W88" s="43">
        <f t="shared" ref="W88" si="9">SUM(W2:W87)</f>
        <v>0</v>
      </c>
      <c r="X88" s="43">
        <f t="shared" ref="X88" si="10">SUM(X2:X87)</f>
        <v>0</v>
      </c>
      <c r="Y88" s="43">
        <f t="shared" ref="Y88" si="11">SUM(Y2:Y87)</f>
        <v>0</v>
      </c>
      <c r="Z88" s="43">
        <f t="shared" ref="Z88" si="12">SUM(Z2:Z87)</f>
        <v>0</v>
      </c>
      <c r="AA88" s="43">
        <f t="shared" ref="AA88" si="13">SUM(AA2:AA87)</f>
        <v>0</v>
      </c>
      <c r="AB88" s="43">
        <f t="shared" ref="AB88" si="14">SUM(AB2:AB87)</f>
        <v>0</v>
      </c>
      <c r="AC88" s="43">
        <f t="shared" ref="AC88" si="15">SUM(AC2:AC87)</f>
        <v>0</v>
      </c>
      <c r="AD88" s="43">
        <f t="shared" ref="AD88" si="16">SUM(AD2:AD87)</f>
        <v>0</v>
      </c>
      <c r="AE88" s="43">
        <f t="shared" ref="AE88:AF88" si="17">SUM(AE2:AE87)</f>
        <v>0</v>
      </c>
      <c r="AF88" s="43">
        <f t="shared" si="17"/>
        <v>0</v>
      </c>
      <c r="AG88" s="43">
        <f t="shared" ref="AG88" si="18">SUM(AG2:AG87)</f>
        <v>0</v>
      </c>
      <c r="AH88" s="43">
        <f>SUM(AH2:AH87)</f>
        <v>28664856.542987801</v>
      </c>
    </row>
    <row r="90" spans="1:34" x14ac:dyDescent="0.25">
      <c r="AH90" s="26"/>
    </row>
    <row r="92" spans="1:34" ht="75" x14ac:dyDescent="0.25">
      <c r="P92" s="4" t="s">
        <v>156</v>
      </c>
    </row>
  </sheetData>
  <phoneticPr fontId="12" type="noConversion"/>
  <pageMargins left="0.25" right="0.25" top="0.75" bottom="0.75" header="0.3" footer="0.3"/>
  <pageSetup paperSize="9" scale="95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Feuil9">
    <tabColor theme="4" tint="-0.249977111117893"/>
  </sheetPr>
  <dimension ref="A1:M150"/>
  <sheetViews>
    <sheetView topLeftCell="A17" zoomScaleNormal="100" workbookViewId="0">
      <selection activeCell="A17" sqref="A17:F31"/>
    </sheetView>
  </sheetViews>
  <sheetFormatPr baseColWidth="10" defaultRowHeight="15" x14ac:dyDescent="0.25"/>
  <cols>
    <col min="1" max="1" width="8.5703125" customWidth="1"/>
    <col min="2" max="2" width="21.140625" customWidth="1"/>
    <col min="3" max="3" width="16.7109375" customWidth="1"/>
    <col min="4" max="4" width="19.85546875" customWidth="1"/>
    <col min="5" max="5" width="14.85546875" customWidth="1"/>
    <col min="6" max="6" width="8.140625" customWidth="1"/>
    <col min="7" max="13" width="11.42578125" hidden="1" customWidth="1"/>
    <col min="14" max="14" width="1.5703125" customWidth="1"/>
  </cols>
  <sheetData>
    <row r="1" spans="1:6" x14ac:dyDescent="0.25">
      <c r="A1" s="1" t="s">
        <v>0</v>
      </c>
      <c r="C1" s="1"/>
      <c r="E1" s="2"/>
    </row>
    <row r="2" spans="1:6" x14ac:dyDescent="0.25">
      <c r="A2" s="1" t="s">
        <v>1</v>
      </c>
      <c r="C2" s="1"/>
      <c r="E2" s="2"/>
    </row>
    <row r="3" spans="1:6" ht="15.75" x14ac:dyDescent="0.25">
      <c r="A3" s="1" t="s">
        <v>148</v>
      </c>
      <c r="C3" s="1"/>
      <c r="D3" s="172"/>
      <c r="E3" s="172"/>
      <c r="F3" s="172"/>
    </row>
    <row r="4" spans="1:6" ht="15.75" x14ac:dyDescent="0.25">
      <c r="A4" s="1" t="s">
        <v>94</v>
      </c>
      <c r="B4" s="2"/>
      <c r="C4" s="3"/>
      <c r="D4" s="173"/>
      <c r="E4" s="173"/>
      <c r="F4" s="173"/>
    </row>
    <row r="5" spans="1:6" ht="31.5" customHeight="1" x14ac:dyDescent="0.25">
      <c r="A5" s="4" t="s">
        <v>2</v>
      </c>
      <c r="B5" s="5" t="s">
        <v>3</v>
      </c>
      <c r="C5" s="4" t="s">
        <v>112</v>
      </c>
      <c r="D5" s="4" t="str">
        <f>'BASE '!P92</f>
        <v>ENCAISSEMENTS AU 12/04/2026</v>
      </c>
      <c r="E5" s="4" t="s">
        <v>4</v>
      </c>
      <c r="F5" s="4" t="s">
        <v>115</v>
      </c>
    </row>
    <row r="6" spans="1:6" x14ac:dyDescent="0.25">
      <c r="A6" s="6">
        <v>86</v>
      </c>
      <c r="B6" s="7" t="s">
        <v>19</v>
      </c>
      <c r="C6" s="35">
        <v>1561340.0000000002</v>
      </c>
      <c r="D6" s="10">
        <f>VLOOKUP(A6,'BASE '!$B$2:$AH$87,33,FALSE)</f>
        <v>583133.1</v>
      </c>
      <c r="E6" s="38">
        <f t="shared" ref="E6:E14" si="0">D6-C6</f>
        <v>-978206.90000000026</v>
      </c>
      <c r="F6" s="161">
        <f t="shared" ref="F6:F14" si="1">D6/C6</f>
        <v>0.37348245737635616</v>
      </c>
    </row>
    <row r="7" spans="1:6" x14ac:dyDescent="0.25">
      <c r="A7" s="6">
        <v>96</v>
      </c>
      <c r="B7" s="7" t="s">
        <v>6</v>
      </c>
      <c r="C7" s="35">
        <v>4400000</v>
      </c>
      <c r="D7" s="10">
        <f>VLOOKUP(A7,'BASE '!$B$2:$AH$87,33,FALSE)</f>
        <v>1460235.87</v>
      </c>
      <c r="E7" s="38">
        <f t="shared" si="0"/>
        <v>-2939764.13</v>
      </c>
      <c r="F7" s="161">
        <f t="shared" si="1"/>
        <v>0.33187178863636368</v>
      </c>
    </row>
    <row r="8" spans="1:6" x14ac:dyDescent="0.25">
      <c r="A8" s="6">
        <v>41</v>
      </c>
      <c r="B8" s="7" t="s">
        <v>83</v>
      </c>
      <c r="C8" s="35">
        <v>2530000</v>
      </c>
      <c r="D8" s="10">
        <f>VLOOKUP(A8,'BASE '!$B$2:$AH$87,33,FALSE)</f>
        <v>1049827.5919999999</v>
      </c>
      <c r="E8" s="38">
        <f t="shared" si="0"/>
        <v>-1480172.4080000001</v>
      </c>
      <c r="F8" s="161">
        <f t="shared" si="1"/>
        <v>0.41495161739130432</v>
      </c>
    </row>
    <row r="9" spans="1:6" x14ac:dyDescent="0.25">
      <c r="A9" s="6">
        <v>52</v>
      </c>
      <c r="B9" s="7" t="s">
        <v>89</v>
      </c>
      <c r="C9" s="35">
        <v>1810468.0000000002</v>
      </c>
      <c r="D9" s="10">
        <f>VLOOKUP(A9,'BASE '!$B$2:$AH$87,33,FALSE)</f>
        <v>447698.68999999994</v>
      </c>
      <c r="E9" s="38">
        <f t="shared" si="0"/>
        <v>-1362769.3100000003</v>
      </c>
      <c r="F9" s="161">
        <f t="shared" si="1"/>
        <v>0.24728340407010777</v>
      </c>
    </row>
    <row r="10" spans="1:6" x14ac:dyDescent="0.25">
      <c r="A10" s="6">
        <v>44</v>
      </c>
      <c r="B10" s="7" t="s">
        <v>13</v>
      </c>
      <c r="C10" s="35">
        <v>1650000.0000000002</v>
      </c>
      <c r="D10" s="10">
        <f>VLOOKUP(A10,'BASE '!$B$2:$AH$87,33,FALSE)</f>
        <v>424042.30000000005</v>
      </c>
      <c r="E10" s="38">
        <f t="shared" si="0"/>
        <v>-1225957.7000000002</v>
      </c>
      <c r="F10" s="161">
        <f t="shared" si="1"/>
        <v>0.2569953333333333</v>
      </c>
    </row>
    <row r="11" spans="1:6" x14ac:dyDescent="0.25">
      <c r="A11" s="6">
        <v>48</v>
      </c>
      <c r="B11" s="7" t="s">
        <v>92</v>
      </c>
      <c r="C11" s="35">
        <v>2527668</v>
      </c>
      <c r="D11" s="10">
        <f>VLOOKUP(A11,'BASE '!$B$2:$AH$87,33,FALSE)</f>
        <v>468417.49999999994</v>
      </c>
      <c r="E11" s="38">
        <f t="shared" si="0"/>
        <v>-2059250.5</v>
      </c>
      <c r="F11" s="161">
        <f t="shared" si="1"/>
        <v>0.18531606999020439</v>
      </c>
    </row>
    <row r="12" spans="1:6" x14ac:dyDescent="0.25">
      <c r="A12" s="6">
        <v>47</v>
      </c>
      <c r="B12" s="7" t="s">
        <v>91</v>
      </c>
      <c r="C12" s="35">
        <v>2530000</v>
      </c>
      <c r="D12" s="10">
        <f>VLOOKUP(A12,'BASE '!$B$2:$AH$87,33,FALSE)</f>
        <v>789965.59</v>
      </c>
      <c r="E12" s="38">
        <f t="shared" si="0"/>
        <v>-1740034.4100000001</v>
      </c>
      <c r="F12" s="161">
        <f t="shared" si="1"/>
        <v>0.31223936363636362</v>
      </c>
    </row>
    <row r="13" spans="1:6" ht="15.75" x14ac:dyDescent="0.25">
      <c r="A13" s="6">
        <v>99</v>
      </c>
      <c r="B13" s="34" t="s">
        <v>8</v>
      </c>
      <c r="C13" s="35">
        <v>2389332</v>
      </c>
      <c r="D13" s="10">
        <f>VLOOKUP(A13,'BASE '!$B$2:$AH$87,33,FALSE)</f>
        <v>512338.89</v>
      </c>
      <c r="E13" s="38">
        <f t="shared" si="0"/>
        <v>-1876993.1099999999</v>
      </c>
      <c r="F13" s="19">
        <f t="shared" si="1"/>
        <v>0.21442766848642214</v>
      </c>
    </row>
    <row r="14" spans="1:6" x14ac:dyDescent="0.25">
      <c r="A14" s="6">
        <v>98</v>
      </c>
      <c r="B14" s="7" t="s">
        <v>12</v>
      </c>
      <c r="C14" s="35">
        <v>3300000.0000000005</v>
      </c>
      <c r="D14" s="10">
        <f>VLOOKUP(A14,'BASE '!$B$2:$AH$87,33,FALSE)</f>
        <v>494924.01</v>
      </c>
      <c r="E14" s="38">
        <f t="shared" si="0"/>
        <v>-2805075.99</v>
      </c>
      <c r="F14" s="161">
        <f t="shared" si="1"/>
        <v>0.1499769727272727</v>
      </c>
    </row>
    <row r="15" spans="1:6" ht="15.75" x14ac:dyDescent="0.25">
      <c r="A15" s="170" t="s">
        <v>125</v>
      </c>
      <c r="B15" s="171"/>
      <c r="C15" s="36">
        <f>SUM(C6:C14)</f>
        <v>22698808</v>
      </c>
      <c r="D15" s="37">
        <f>SUM(D6:D14)</f>
        <v>6230583.5419999994</v>
      </c>
      <c r="E15" s="37">
        <f>SUM(E6:E14)</f>
        <v>-16468224.458000001</v>
      </c>
      <c r="F15" s="33">
        <f t="shared" ref="F15" si="2">D15/C15</f>
        <v>0.27448945962272553</v>
      </c>
    </row>
    <row r="16" spans="1:6" ht="15.75" x14ac:dyDescent="0.25">
      <c r="A16" s="65"/>
      <c r="B16" s="65"/>
      <c r="C16" s="66"/>
      <c r="D16" s="66"/>
      <c r="E16" s="66"/>
      <c r="F16" s="67"/>
    </row>
    <row r="17" spans="1:6" ht="15.75" x14ac:dyDescent="0.25">
      <c r="A17" s="159" t="s">
        <v>151</v>
      </c>
      <c r="B17" s="65"/>
      <c r="C17" s="66"/>
      <c r="D17" s="66"/>
      <c r="E17" s="66"/>
      <c r="F17" s="67"/>
    </row>
    <row r="18" spans="1:6" x14ac:dyDescent="0.25">
      <c r="A18" s="64" t="s">
        <v>96</v>
      </c>
    </row>
    <row r="19" spans="1:6" ht="41.25" customHeight="1" x14ac:dyDescent="0.25">
      <c r="A19" s="4" t="s">
        <v>2</v>
      </c>
      <c r="B19" s="5" t="s">
        <v>3</v>
      </c>
      <c r="C19" s="4" t="s">
        <v>113</v>
      </c>
      <c r="D19" s="4" t="str">
        <f>'BASE '!P92</f>
        <v>ENCAISSEMENTS AU 12/04/2026</v>
      </c>
      <c r="E19" s="4" t="s">
        <v>4</v>
      </c>
      <c r="F19" s="4" t="s">
        <v>117</v>
      </c>
    </row>
    <row r="20" spans="1:6" ht="15.75" x14ac:dyDescent="0.25">
      <c r="A20" s="6">
        <v>95</v>
      </c>
      <c r="B20" s="7" t="s">
        <v>11</v>
      </c>
      <c r="C20" s="8">
        <v>2566080</v>
      </c>
      <c r="D20" s="9">
        <f>VLOOKUP(A20,'BASE '!$B$2:$AH$87,33,FALSE)</f>
        <v>982564.6</v>
      </c>
      <c r="E20" s="10">
        <f>D20-C20</f>
        <v>-1583515.4</v>
      </c>
      <c r="F20" s="19">
        <f>D20/C20</f>
        <v>0.38290489774286068</v>
      </c>
    </row>
    <row r="21" spans="1:6" ht="15.75" x14ac:dyDescent="0.25">
      <c r="A21" s="6">
        <v>89</v>
      </c>
      <c r="B21" s="34" t="s">
        <v>5</v>
      </c>
      <c r="C21" s="8">
        <v>2403878.4000000004</v>
      </c>
      <c r="D21" s="9">
        <f>VLOOKUP(A21,'BASE '!$B$2:$AH$87,33,FALSE)</f>
        <v>740798.56099999999</v>
      </c>
      <c r="E21" s="10">
        <f>D21-C21</f>
        <v>-1663079.8390000004</v>
      </c>
      <c r="F21" s="19">
        <f>D21/C21</f>
        <v>0.30816806748627545</v>
      </c>
    </row>
    <row r="22" spans="1:6" ht="15.75" x14ac:dyDescent="0.25">
      <c r="A22" s="53">
        <v>53</v>
      </c>
      <c r="B22" s="61" t="s">
        <v>88</v>
      </c>
      <c r="C22" s="8">
        <v>1946670.0000000002</v>
      </c>
      <c r="D22" s="9">
        <f>VLOOKUP(A22,'BASE '!$B$2:$AH$87,33,FALSE)</f>
        <v>523973.89</v>
      </c>
      <c r="E22" s="10">
        <f>D22-C22</f>
        <v>-1422696.1100000003</v>
      </c>
      <c r="F22" s="19">
        <f>D22/C22</f>
        <v>0.26916420862293039</v>
      </c>
    </row>
    <row r="23" spans="1:6" x14ac:dyDescent="0.25">
      <c r="A23" s="6">
        <v>50</v>
      </c>
      <c r="B23" s="7" t="s">
        <v>86</v>
      </c>
      <c r="C23" s="8">
        <v>1140282</v>
      </c>
      <c r="D23" s="9">
        <f>VLOOKUP(A23,'BASE '!$B$2:$AH$87,33,FALSE)</f>
        <v>272436.08999999997</v>
      </c>
      <c r="E23" s="10">
        <f>D23-C23</f>
        <v>-867845.91</v>
      </c>
      <c r="F23" s="161">
        <f>D23/C23</f>
        <v>0.23891992507116658</v>
      </c>
    </row>
    <row r="24" spans="1:6" ht="15.75" x14ac:dyDescent="0.25">
      <c r="A24" s="6">
        <v>42</v>
      </c>
      <c r="B24" s="7" t="s">
        <v>84</v>
      </c>
      <c r="C24" s="8">
        <v>2325840</v>
      </c>
      <c r="D24" s="9">
        <f>VLOOKUP(A24,'BASE '!$B$2:$AH$87,33,FALSE)</f>
        <v>536080.39999999991</v>
      </c>
      <c r="E24" s="10">
        <f>D24-C24</f>
        <v>-1789759.6</v>
      </c>
      <c r="F24" s="19">
        <f>D24/C24</f>
        <v>0.23048894162969075</v>
      </c>
    </row>
    <row r="25" spans="1:6" ht="15.75" x14ac:dyDescent="0.25">
      <c r="A25" s="6">
        <v>51</v>
      </c>
      <c r="B25" s="7" t="s">
        <v>87</v>
      </c>
      <c r="C25" s="8">
        <v>1182654</v>
      </c>
      <c r="D25" s="9">
        <f>VLOOKUP(A25,'BASE '!$B$2:$AH$87,33,FALSE)</f>
        <v>268593.58999999997</v>
      </c>
      <c r="E25" s="10">
        <f>D25-C25</f>
        <v>-914060.41</v>
      </c>
      <c r="F25" s="19">
        <f>D25/C25</f>
        <v>0.22711087942881009</v>
      </c>
    </row>
    <row r="26" spans="1:6" ht="15.75" x14ac:dyDescent="0.25">
      <c r="A26" s="59">
        <v>49</v>
      </c>
      <c r="B26" s="73" t="s">
        <v>85</v>
      </c>
      <c r="C26" s="60">
        <v>1905090.0000000002</v>
      </c>
      <c r="D26" s="9">
        <f>VLOOKUP(A26,'BASE '!$B$2:$AH$87,33,FALSE)</f>
        <v>419997.1</v>
      </c>
      <c r="E26" s="10">
        <f>D26-C26</f>
        <v>-1485092.9000000004</v>
      </c>
      <c r="F26" s="19">
        <f>D26/C26</f>
        <v>0.22046050317832749</v>
      </c>
    </row>
    <row r="27" spans="1:6" ht="15.75" x14ac:dyDescent="0.25">
      <c r="A27" s="6">
        <v>90</v>
      </c>
      <c r="B27" s="7" t="s">
        <v>9</v>
      </c>
      <c r="C27" s="8">
        <v>3300000.0000000005</v>
      </c>
      <c r="D27" s="9">
        <f>VLOOKUP(A27,'BASE '!$B$2:$AH$87,33,FALSE)</f>
        <v>610061.38</v>
      </c>
      <c r="E27" s="10">
        <f>D27-C27</f>
        <v>-2689938.6200000006</v>
      </c>
      <c r="F27" s="19">
        <f>D27/C27</f>
        <v>0.18486708484848483</v>
      </c>
    </row>
    <row r="28" spans="1:6" ht="15.75" x14ac:dyDescent="0.25">
      <c r="A28" s="6">
        <v>45</v>
      </c>
      <c r="B28" s="7" t="s">
        <v>93</v>
      </c>
      <c r="C28" s="8">
        <v>2530000</v>
      </c>
      <c r="D28" s="9">
        <f>VLOOKUP(A28,'BASE '!$B$2:$AH$87,33,FALSE)</f>
        <v>430622.99</v>
      </c>
      <c r="E28" s="10">
        <f>D28-C28</f>
        <v>-2099377.0099999998</v>
      </c>
      <c r="F28" s="19">
        <f>D28/C28</f>
        <v>0.17020671541501975</v>
      </c>
    </row>
    <row r="29" spans="1:6" ht="15.75" x14ac:dyDescent="0.25">
      <c r="A29" s="6">
        <v>46</v>
      </c>
      <c r="B29" s="7" t="s">
        <v>16</v>
      </c>
      <c r="C29" s="8">
        <v>2038168.0000000002</v>
      </c>
      <c r="D29" s="9">
        <f>VLOOKUP(A29,'BASE '!$B$2:$AH$87,33,FALSE)</f>
        <v>335529.79000000004</v>
      </c>
      <c r="E29" s="10">
        <f>D29-C29</f>
        <v>-1702638.2100000002</v>
      </c>
      <c r="F29" s="19">
        <f>D29/C29</f>
        <v>0.16462322536709437</v>
      </c>
    </row>
    <row r="30" spans="1:6" ht="15.75" x14ac:dyDescent="0.25">
      <c r="A30" s="6">
        <v>94</v>
      </c>
      <c r="B30" s="7" t="s">
        <v>15</v>
      </c>
      <c r="C30" s="8">
        <v>6136680.0000000009</v>
      </c>
      <c r="D30" s="9">
        <f>VLOOKUP(A30,'BASE '!$B$2:$AH$87,33,FALSE)</f>
        <v>556738.18999999994</v>
      </c>
      <c r="E30" s="10">
        <f>D30-C30</f>
        <v>-5579941.8100000005</v>
      </c>
      <c r="F30" s="19">
        <f>D30/C30</f>
        <v>9.0723027760939115E-2</v>
      </c>
    </row>
    <row r="31" spans="1:6" ht="15.75" x14ac:dyDescent="0.25">
      <c r="A31" s="170" t="s">
        <v>127</v>
      </c>
      <c r="B31" s="171"/>
      <c r="C31" s="36">
        <f>SUM(C20:C30)</f>
        <v>27475342.399999999</v>
      </c>
      <c r="D31" s="37">
        <f>SUM(D20:D30)</f>
        <v>5677396.5810000002</v>
      </c>
      <c r="E31" s="37">
        <f>SUM(E20:E30)</f>
        <v>-21797945.819000006</v>
      </c>
      <c r="F31" s="33">
        <f t="shared" ref="F31" si="3">D31/C31</f>
        <v>0.20663606292309575</v>
      </c>
    </row>
    <row r="33" spans="1:6" ht="15.75" x14ac:dyDescent="0.25">
      <c r="A33" s="1" t="s">
        <v>97</v>
      </c>
      <c r="B33" s="2"/>
      <c r="C33" s="72"/>
      <c r="D33" s="72"/>
      <c r="E33" s="72"/>
      <c r="F33" s="72"/>
    </row>
    <row r="34" spans="1:6" ht="30" x14ac:dyDescent="0.25">
      <c r="A34" s="4" t="s">
        <v>2</v>
      </c>
      <c r="B34" s="5" t="s">
        <v>3</v>
      </c>
      <c r="C34" s="4" t="s">
        <v>113</v>
      </c>
      <c r="D34" s="4" t="str">
        <f>'BASE '!P92</f>
        <v>ENCAISSEMENTS AU 12/04/2026</v>
      </c>
      <c r="E34" s="4" t="s">
        <v>4</v>
      </c>
      <c r="F34" s="4" t="s">
        <v>117</v>
      </c>
    </row>
    <row r="35" spans="1:6" ht="15.75" x14ac:dyDescent="0.25">
      <c r="A35" s="6">
        <v>55</v>
      </c>
      <c r="B35" s="7" t="s">
        <v>107</v>
      </c>
      <c r="C35" s="8">
        <v>4480630</v>
      </c>
      <c r="D35" s="8">
        <f>VLOOKUP(A35,'BASE '!$B$2:$AH$87,33,FALSE)</f>
        <v>2145647.39</v>
      </c>
      <c r="E35" s="10">
        <f t="shared" ref="E35:E40" si="4">D35-C35</f>
        <v>-2334982.61</v>
      </c>
      <c r="F35" s="19">
        <f t="shared" ref="F35:F40" si="5">D35/C35</f>
        <v>0.47887180820554254</v>
      </c>
    </row>
    <row r="36" spans="1:6" ht="15.75" x14ac:dyDescent="0.25">
      <c r="A36" s="6">
        <v>43</v>
      </c>
      <c r="B36" s="7" t="s">
        <v>7</v>
      </c>
      <c r="C36" s="8">
        <v>5518590</v>
      </c>
      <c r="D36" s="8">
        <f>VLOOKUP(A36,'BASE '!$B$2:$AH$87,33,FALSE)</f>
        <v>1397501.7</v>
      </c>
      <c r="E36" s="10">
        <f t="shared" si="4"/>
        <v>-4121088.3</v>
      </c>
      <c r="F36" s="19">
        <f t="shared" si="5"/>
        <v>0.25323528292552988</v>
      </c>
    </row>
    <row r="37" spans="1:6" ht="15.75" x14ac:dyDescent="0.25">
      <c r="A37" s="6">
        <v>97</v>
      </c>
      <c r="B37" s="7" t="s">
        <v>10</v>
      </c>
      <c r="C37" s="8">
        <v>7154840.0000000009</v>
      </c>
      <c r="D37" s="8">
        <f>VLOOKUP(A37,'BASE '!$B$2:$AH$87,33,FALSE)</f>
        <v>1621240.47</v>
      </c>
      <c r="E37" s="10">
        <f t="shared" si="4"/>
        <v>-5533599.5300000012</v>
      </c>
      <c r="F37" s="19">
        <f t="shared" si="5"/>
        <v>0.22659353248989492</v>
      </c>
    </row>
    <row r="38" spans="1:6" ht="15.75" x14ac:dyDescent="0.25">
      <c r="A38" s="6">
        <v>93</v>
      </c>
      <c r="B38" s="7" t="s">
        <v>17</v>
      </c>
      <c r="C38" s="8">
        <v>2402400</v>
      </c>
      <c r="D38" s="8">
        <f>VLOOKUP(A38,'BASE '!$B$2:$AH$87,33,FALSE)</f>
        <v>518901.79000000004</v>
      </c>
      <c r="E38" s="10">
        <f t="shared" si="4"/>
        <v>-1883498.21</v>
      </c>
      <c r="F38" s="19">
        <f t="shared" si="5"/>
        <v>0.21599308608058609</v>
      </c>
    </row>
    <row r="39" spans="1:6" x14ac:dyDescent="0.25">
      <c r="A39" s="6">
        <v>91</v>
      </c>
      <c r="B39" s="7" t="s">
        <v>18</v>
      </c>
      <c r="C39" s="8">
        <v>8800000</v>
      </c>
      <c r="D39" s="8">
        <f>VLOOKUP(A39,'BASE '!$B$2:$AH$87,33,FALSE)</f>
        <v>2474469.5700000003</v>
      </c>
      <c r="E39" s="10">
        <f t="shared" si="4"/>
        <v>-6325530.4299999997</v>
      </c>
      <c r="F39" s="161">
        <f t="shared" si="5"/>
        <v>0.28118972386363639</v>
      </c>
    </row>
    <row r="40" spans="1:6" ht="15.75" x14ac:dyDescent="0.25">
      <c r="A40" s="6">
        <v>92</v>
      </c>
      <c r="B40" s="7" t="s">
        <v>14</v>
      </c>
      <c r="C40" s="8">
        <v>7150000.0000000009</v>
      </c>
      <c r="D40" s="8">
        <f>VLOOKUP(A40,'BASE '!$B$2:$AH$87,33,FALSE)</f>
        <v>914023.89</v>
      </c>
      <c r="E40" s="10">
        <f t="shared" si="4"/>
        <v>-6235976.1100000013</v>
      </c>
      <c r="F40" s="19">
        <f t="shared" si="5"/>
        <v>0.12783550909090907</v>
      </c>
    </row>
    <row r="41" spans="1:6" ht="15.75" x14ac:dyDescent="0.25">
      <c r="A41" s="170" t="s">
        <v>126</v>
      </c>
      <c r="B41" s="171"/>
      <c r="C41" s="37">
        <f>SUM(C35:C40)</f>
        <v>35506460</v>
      </c>
      <c r="D41" s="37">
        <f>SUM(D35:D40)</f>
        <v>9071784.8100000005</v>
      </c>
      <c r="E41" s="37">
        <f>SUM(E35:E40)</f>
        <v>-26434675.190000005</v>
      </c>
      <c r="F41" s="33">
        <f t="shared" ref="F41:F43" si="6">D41/C41</f>
        <v>0.25549674087475915</v>
      </c>
    </row>
    <row r="43" spans="1:6" x14ac:dyDescent="0.25">
      <c r="A43" s="45" t="s">
        <v>98</v>
      </c>
      <c r="B43" s="46"/>
      <c r="C43" s="57">
        <f t="shared" ref="C43:E43" si="7">C15+C31+C41</f>
        <v>85680610.400000006</v>
      </c>
      <c r="D43" s="57">
        <f>D15+D31+D41</f>
        <v>20979764.932999998</v>
      </c>
      <c r="E43" s="57">
        <f t="shared" si="7"/>
        <v>-64700845.467000015</v>
      </c>
      <c r="F43" s="58">
        <f t="shared" si="6"/>
        <v>0.24486012453758146</v>
      </c>
    </row>
    <row r="45" spans="1:6" x14ac:dyDescent="0.25">
      <c r="A45" t="s">
        <v>99</v>
      </c>
    </row>
    <row r="46" spans="1:6" ht="45" customHeight="1" x14ac:dyDescent="0.25">
      <c r="A46" s="4" t="s">
        <v>2</v>
      </c>
      <c r="B46" s="5" t="s">
        <v>3</v>
      </c>
      <c r="C46" s="4" t="s">
        <v>114</v>
      </c>
      <c r="D46" s="4" t="str">
        <f>'BASE '!P92</f>
        <v>ENCAISSEMENTS AU 12/04/2026</v>
      </c>
      <c r="E46" s="4" t="s">
        <v>4</v>
      </c>
      <c r="F46" s="4" t="s">
        <v>115</v>
      </c>
    </row>
    <row r="47" spans="1:6" ht="15.75" x14ac:dyDescent="0.25">
      <c r="A47" s="16">
        <v>80</v>
      </c>
      <c r="B47" s="17" t="s">
        <v>24</v>
      </c>
      <c r="C47" s="18">
        <v>3860557</v>
      </c>
      <c r="D47" s="18">
        <f>VLOOKUP(A47,'BASE '!$B$2:$AH$87,33,FALSE)</f>
        <v>920851.79</v>
      </c>
      <c r="E47" s="18">
        <f>D47-C47</f>
        <v>-2939705.21</v>
      </c>
      <c r="F47" s="19">
        <f>D47/C47</f>
        <v>0.23852822015061559</v>
      </c>
    </row>
    <row r="48" spans="1:6" ht="15.75" x14ac:dyDescent="0.25">
      <c r="A48" s="16">
        <v>60</v>
      </c>
      <c r="B48" s="17" t="s">
        <v>23</v>
      </c>
      <c r="C48" s="18">
        <v>6553072.9000000004</v>
      </c>
      <c r="D48" s="18">
        <f>VLOOKUP(A48,'BASE '!$B$2:$AH$87,33,FALSE)</f>
        <v>895118.23</v>
      </c>
      <c r="E48" s="18">
        <f>D48-C48</f>
        <v>-5657954.6699999999</v>
      </c>
      <c r="F48" s="19">
        <f>D48/C48</f>
        <v>0.13659518880066174</v>
      </c>
    </row>
    <row r="49" spans="1:6" ht="15.75" x14ac:dyDescent="0.25">
      <c r="A49" s="16">
        <v>40</v>
      </c>
      <c r="B49" s="17" t="s">
        <v>22</v>
      </c>
      <c r="C49" s="18">
        <v>2422629</v>
      </c>
      <c r="D49" s="18">
        <f>VLOOKUP(A49,'BASE '!$B$2:$AH$87,33,FALSE)</f>
        <v>572432.8600000001</v>
      </c>
      <c r="E49" s="18">
        <f>D49-C49</f>
        <v>-1850196.14</v>
      </c>
      <c r="F49" s="19">
        <f>D49/C49</f>
        <v>0.23628581181848318</v>
      </c>
    </row>
    <row r="50" spans="1:6" ht="15.75" x14ac:dyDescent="0.25">
      <c r="A50" s="16">
        <v>15</v>
      </c>
      <c r="B50" s="17" t="s">
        <v>25</v>
      </c>
      <c r="C50" s="18">
        <v>261580.00000000003</v>
      </c>
      <c r="D50" s="18">
        <f>VLOOKUP(A50,'BASE '!$B$2:$AH$87,33,FALSE)</f>
        <v>7309</v>
      </c>
      <c r="E50" s="18">
        <f>D50-C50</f>
        <v>-254271.00000000003</v>
      </c>
      <c r="F50" s="161">
        <f>D50/C50</f>
        <v>2.7941738665035552E-2</v>
      </c>
    </row>
    <row r="51" spans="1:6" ht="15.75" x14ac:dyDescent="0.25">
      <c r="A51" s="45" t="s">
        <v>128</v>
      </c>
      <c r="B51" s="46"/>
      <c r="C51" s="21">
        <f>SUM(C47:C50)</f>
        <v>13097838.9</v>
      </c>
      <c r="D51" s="22">
        <f>SUM(D47:D50)</f>
        <v>2395711.88</v>
      </c>
      <c r="E51" s="22">
        <f>SUM(E47:E50)</f>
        <v>-10702127.02</v>
      </c>
      <c r="F51" s="23">
        <f>D51/C51</f>
        <v>0.18290894385637924</v>
      </c>
    </row>
    <row r="53" spans="1:6" ht="15.75" x14ac:dyDescent="0.25">
      <c r="A53" s="45" t="s">
        <v>121</v>
      </c>
      <c r="B53" s="46"/>
      <c r="C53" s="62">
        <f>C51</f>
        <v>13097838.9</v>
      </c>
      <c r="D53" s="62">
        <f>D51</f>
        <v>2395711.88</v>
      </c>
      <c r="E53" s="62">
        <f t="shared" ref="E53:F53" si="8">E51</f>
        <v>-10702127.02</v>
      </c>
      <c r="F53" s="63">
        <f t="shared" si="8"/>
        <v>0.18290894385637924</v>
      </c>
    </row>
    <row r="54" spans="1:6" x14ac:dyDescent="0.25">
      <c r="A54" s="1" t="s">
        <v>152</v>
      </c>
    </row>
    <row r="55" spans="1:6" x14ac:dyDescent="0.25">
      <c r="A55" s="1" t="s">
        <v>119</v>
      </c>
    </row>
    <row r="56" spans="1:6" ht="30" x14ac:dyDescent="0.25">
      <c r="A56" s="4" t="s">
        <v>2</v>
      </c>
      <c r="B56" s="5" t="s">
        <v>3</v>
      </c>
      <c r="C56" s="4" t="s">
        <v>21</v>
      </c>
      <c r="D56" s="4" t="str">
        <f>'BASE '!P92</f>
        <v>ENCAISSEMENTS AU 12/04/2026</v>
      </c>
      <c r="E56" s="4" t="s">
        <v>4</v>
      </c>
      <c r="F56" s="4" t="s">
        <v>115</v>
      </c>
    </row>
    <row r="57" spans="1:6" ht="15.75" x14ac:dyDescent="0.25">
      <c r="A57" s="16">
        <v>71</v>
      </c>
      <c r="B57" s="17" t="s">
        <v>49</v>
      </c>
      <c r="C57" s="18">
        <v>1707327</v>
      </c>
      <c r="D57" s="18">
        <f>VLOOKUP(A57,'BASE '!$B$2:$AH$87,33,FALSE)</f>
        <v>442720.4</v>
      </c>
      <c r="E57" s="18">
        <f t="shared" ref="E57:E72" si="9">D57-C57</f>
        <v>-1264606.6000000001</v>
      </c>
      <c r="F57" s="19">
        <f t="shared" ref="F57:F72" si="10">D57/C57</f>
        <v>0.25930615517706918</v>
      </c>
    </row>
    <row r="58" spans="1:6" ht="15.75" x14ac:dyDescent="0.25">
      <c r="A58" s="16">
        <v>35</v>
      </c>
      <c r="B58" s="17" t="s">
        <v>63</v>
      </c>
      <c r="C58" s="18">
        <v>453089</v>
      </c>
      <c r="D58" s="18">
        <f>VLOOKUP(A58,'BASE '!$B$2:$AH$87,33,FALSE)</f>
        <v>99302.5</v>
      </c>
      <c r="E58" s="18">
        <f t="shared" si="9"/>
        <v>-353786.5</v>
      </c>
      <c r="F58" s="19">
        <f t="shared" si="10"/>
        <v>0.21916775732803048</v>
      </c>
    </row>
    <row r="59" spans="1:6" ht="15.75" x14ac:dyDescent="0.25">
      <c r="A59" s="16">
        <v>70</v>
      </c>
      <c r="B59" s="17" t="s">
        <v>56</v>
      </c>
      <c r="C59" s="18">
        <v>1053412</v>
      </c>
      <c r="D59" s="18">
        <f>VLOOKUP(A59,'BASE '!$B$2:$AH$87,33,FALSE)</f>
        <v>241886.19</v>
      </c>
      <c r="E59" s="18">
        <f t="shared" si="9"/>
        <v>-811525.81</v>
      </c>
      <c r="F59" s="19">
        <f t="shared" si="10"/>
        <v>0.22962163901683291</v>
      </c>
    </row>
    <row r="60" spans="1:6" ht="15.75" x14ac:dyDescent="0.25">
      <c r="A60" s="16">
        <v>101</v>
      </c>
      <c r="B60" s="17" t="s">
        <v>47</v>
      </c>
      <c r="C60" s="18">
        <v>94233</v>
      </c>
      <c r="D60" s="18">
        <f>VLOOKUP(A60,'BASE '!$B$2:$AH$87,33,FALSE)</f>
        <v>8629</v>
      </c>
      <c r="E60" s="18">
        <f t="shared" si="9"/>
        <v>-85604</v>
      </c>
      <c r="F60" s="19">
        <f t="shared" si="10"/>
        <v>9.1570893423747524E-2</v>
      </c>
    </row>
    <row r="61" spans="1:6" ht="15.75" x14ac:dyDescent="0.25">
      <c r="A61" s="16">
        <v>72</v>
      </c>
      <c r="B61" s="17" t="s">
        <v>53</v>
      </c>
      <c r="C61" s="18">
        <v>855901</v>
      </c>
      <c r="D61" s="18">
        <f>VLOOKUP(A61,'BASE '!$B$2:$AH$87,33,FALSE)</f>
        <v>292900.7</v>
      </c>
      <c r="E61" s="18">
        <f t="shared" si="9"/>
        <v>-563000.30000000005</v>
      </c>
      <c r="F61" s="19">
        <f t="shared" si="10"/>
        <v>0.34221329335986289</v>
      </c>
    </row>
    <row r="62" spans="1:6" ht="15.75" x14ac:dyDescent="0.25">
      <c r="A62" s="16">
        <v>34</v>
      </c>
      <c r="B62" s="17" t="s">
        <v>64</v>
      </c>
      <c r="C62" s="18">
        <v>120057</v>
      </c>
      <c r="D62" s="18">
        <f>VLOOKUP(A62,'BASE '!$B$2:$AH$87,33,FALSE)</f>
        <v>70653.7</v>
      </c>
      <c r="E62" s="18">
        <f t="shared" si="9"/>
        <v>-49403.3</v>
      </c>
      <c r="F62" s="19">
        <f t="shared" si="10"/>
        <v>0.58850129521810468</v>
      </c>
    </row>
    <row r="63" spans="1:6" ht="15.75" x14ac:dyDescent="0.25">
      <c r="A63" s="16">
        <v>85</v>
      </c>
      <c r="B63" s="17" t="s">
        <v>48</v>
      </c>
      <c r="C63" s="18">
        <v>252646</v>
      </c>
      <c r="D63" s="18">
        <f>VLOOKUP(A63,'BASE '!$B$2:$AH$87,33,FALSE)</f>
        <v>161494.79999999999</v>
      </c>
      <c r="E63" s="18">
        <f t="shared" si="9"/>
        <v>-91151.200000000012</v>
      </c>
      <c r="F63" s="19">
        <f t="shared" si="10"/>
        <v>0.63921376154777831</v>
      </c>
    </row>
    <row r="64" spans="1:6" ht="15.75" x14ac:dyDescent="0.25">
      <c r="A64" s="16">
        <v>33</v>
      </c>
      <c r="B64" s="17" t="s">
        <v>59</v>
      </c>
      <c r="C64" s="18">
        <v>109280</v>
      </c>
      <c r="D64" s="18">
        <f>VLOOKUP(A64,'BASE '!$B$2:$AH$87,33,FALSE)</f>
        <v>15355.3</v>
      </c>
      <c r="E64" s="18">
        <f t="shared" si="9"/>
        <v>-93924.7</v>
      </c>
      <c r="F64" s="19">
        <f t="shared" si="10"/>
        <v>0.14051336017569546</v>
      </c>
    </row>
    <row r="65" spans="1:6" ht="15.75" x14ac:dyDescent="0.25">
      <c r="A65" s="16">
        <v>37</v>
      </c>
      <c r="B65" s="17" t="s">
        <v>60</v>
      </c>
      <c r="C65" s="18">
        <v>353089</v>
      </c>
      <c r="D65" s="18">
        <f>VLOOKUP(A65,'BASE '!$B$2:$AH$87,33,FALSE)</f>
        <v>95096</v>
      </c>
      <c r="E65" s="18">
        <f t="shared" si="9"/>
        <v>-257993</v>
      </c>
      <c r="F65" s="19">
        <f t="shared" si="10"/>
        <v>0.26932586401728742</v>
      </c>
    </row>
    <row r="66" spans="1:6" ht="15.75" x14ac:dyDescent="0.25">
      <c r="A66" s="16">
        <v>84</v>
      </c>
      <c r="B66" s="17" t="s">
        <v>54</v>
      </c>
      <c r="C66" s="18">
        <v>571633</v>
      </c>
      <c r="D66" s="18">
        <f>VLOOKUP(A66,'BASE '!$B$2:$AH$87,33,FALSE)</f>
        <v>185201</v>
      </c>
      <c r="E66" s="18">
        <f t="shared" si="9"/>
        <v>-386432</v>
      </c>
      <c r="F66" s="19">
        <f t="shared" si="10"/>
        <v>0.32398584406428599</v>
      </c>
    </row>
    <row r="67" spans="1:6" ht="15.75" x14ac:dyDescent="0.25">
      <c r="A67" s="16">
        <v>32</v>
      </c>
      <c r="B67" s="17" t="s">
        <v>58</v>
      </c>
      <c r="C67" s="18">
        <v>256721</v>
      </c>
      <c r="D67" s="18">
        <f>VLOOKUP(A67,'BASE '!$B$2:$AH$87,33,FALSE)</f>
        <v>8785.7000000000007</v>
      </c>
      <c r="E67" s="18">
        <f t="shared" si="9"/>
        <v>-247935.3</v>
      </c>
      <c r="F67" s="19">
        <f t="shared" si="10"/>
        <v>3.4222755442679019E-2</v>
      </c>
    </row>
    <row r="68" spans="1:6" ht="15.75" x14ac:dyDescent="0.25">
      <c r="A68" s="16">
        <v>81</v>
      </c>
      <c r="B68" s="17" t="s">
        <v>52</v>
      </c>
      <c r="C68" s="18">
        <v>101711</v>
      </c>
      <c r="D68" s="18">
        <f>VLOOKUP(A68,'BASE '!$B$2:$AH$87,33,FALSE)</f>
        <v>1421</v>
      </c>
      <c r="E68" s="18">
        <f t="shared" si="9"/>
        <v>-100290</v>
      </c>
      <c r="F68" s="19">
        <f t="shared" si="10"/>
        <v>1.3970956926979384E-2</v>
      </c>
    </row>
    <row r="69" spans="1:6" ht="15.75" x14ac:dyDescent="0.25">
      <c r="A69" s="16">
        <v>88</v>
      </c>
      <c r="B69" s="17" t="s">
        <v>45</v>
      </c>
      <c r="C69" s="18">
        <v>39549</v>
      </c>
      <c r="D69" s="18">
        <v>0</v>
      </c>
      <c r="E69" s="18">
        <f t="shared" si="9"/>
        <v>-39549</v>
      </c>
      <c r="F69" s="19">
        <f t="shared" si="10"/>
        <v>0</v>
      </c>
    </row>
    <row r="70" spans="1:6" ht="15.75" x14ac:dyDescent="0.25">
      <c r="A70" s="16">
        <v>102</v>
      </c>
      <c r="B70" s="17" t="s">
        <v>55</v>
      </c>
      <c r="C70" s="18">
        <v>126513</v>
      </c>
      <c r="D70" s="18">
        <v>0</v>
      </c>
      <c r="E70" s="18">
        <f t="shared" si="9"/>
        <v>-126513</v>
      </c>
      <c r="F70" s="19">
        <f t="shared" si="10"/>
        <v>0</v>
      </c>
    </row>
    <row r="71" spans="1:6" ht="15.75" x14ac:dyDescent="0.25">
      <c r="A71" s="16">
        <v>83</v>
      </c>
      <c r="B71" s="17" t="s">
        <v>50</v>
      </c>
      <c r="C71" s="18">
        <v>170012</v>
      </c>
      <c r="D71" s="18">
        <f>VLOOKUP(A71,'BASE '!$B$2:$AH$87,33,FALSE)</f>
        <v>1492</v>
      </c>
      <c r="E71" s="18">
        <f t="shared" si="9"/>
        <v>-168520</v>
      </c>
      <c r="F71" s="19">
        <f t="shared" si="10"/>
        <v>8.7758511163917845E-3</v>
      </c>
    </row>
    <row r="72" spans="1:6" ht="15.75" x14ac:dyDescent="0.25">
      <c r="A72" s="16">
        <v>38</v>
      </c>
      <c r="B72" s="17" t="s">
        <v>62</v>
      </c>
      <c r="C72" s="18">
        <v>60999</v>
      </c>
      <c r="D72" s="18">
        <v>0</v>
      </c>
      <c r="E72" s="18">
        <f t="shared" si="9"/>
        <v>-60999</v>
      </c>
      <c r="F72" s="19">
        <f t="shared" si="10"/>
        <v>0</v>
      </c>
    </row>
    <row r="73" spans="1:6" ht="15.75" x14ac:dyDescent="0.25">
      <c r="A73" s="50" t="s">
        <v>129</v>
      </c>
      <c r="B73" s="51"/>
      <c r="C73" s="21">
        <f>SUM(C57:C72)</f>
        <v>6326172</v>
      </c>
      <c r="D73" s="21">
        <f>SUM(D57:D72)</f>
        <v>1624938.29</v>
      </c>
      <c r="E73" s="21">
        <f>SUM(E57:E72)</f>
        <v>-4701233.71</v>
      </c>
      <c r="F73" s="30">
        <f t="shared" ref="F73" si="11">D73/C73</f>
        <v>0.25685964434732411</v>
      </c>
    </row>
    <row r="75" spans="1:6" x14ac:dyDescent="0.25">
      <c r="A75" s="1" t="s">
        <v>95</v>
      </c>
    </row>
    <row r="76" spans="1:6" ht="30" x14ac:dyDescent="0.25">
      <c r="A76" s="5" t="s">
        <v>2</v>
      </c>
      <c r="B76" s="4" t="s">
        <v>3</v>
      </c>
      <c r="C76" s="4" t="s">
        <v>26</v>
      </c>
      <c r="D76" s="4" t="str">
        <f>'BASE '!P92</f>
        <v>ENCAISSEMENTS AU 12/04/2026</v>
      </c>
      <c r="E76" s="4" t="s">
        <v>4</v>
      </c>
      <c r="F76" s="4" t="s">
        <v>115</v>
      </c>
    </row>
    <row r="77" spans="1:6" ht="15.75" x14ac:dyDescent="0.25">
      <c r="A77" s="16">
        <v>29</v>
      </c>
      <c r="B77" s="17" t="s">
        <v>73</v>
      </c>
      <c r="C77" s="18">
        <v>200709.00000000003</v>
      </c>
      <c r="D77" s="18">
        <f>VLOOKUP(A77,'BASE '!$B$2:$AH$87,33,FALSE)</f>
        <v>138418.89998779295</v>
      </c>
      <c r="E77" s="18">
        <f t="shared" ref="E77:E94" si="12">D77-C77</f>
        <v>-62290.100012207084</v>
      </c>
      <c r="F77" s="19">
        <f t="shared" ref="F77:F94" si="13">D77/C77</f>
        <v>0.68964969178159885</v>
      </c>
    </row>
    <row r="78" spans="1:6" ht="15.75" x14ac:dyDescent="0.25">
      <c r="A78" s="16">
        <v>65</v>
      </c>
      <c r="B78" s="17" t="s">
        <v>70</v>
      </c>
      <c r="C78" s="18">
        <v>1486335</v>
      </c>
      <c r="D78" s="18">
        <f>VLOOKUP(A78,'BASE '!$B$2:$AH$87,33,FALSE)</f>
        <v>416206.47000000003</v>
      </c>
      <c r="E78" s="18">
        <f t="shared" si="12"/>
        <v>-1070128.53</v>
      </c>
      <c r="F78" s="19">
        <f t="shared" si="13"/>
        <v>0.28002198023998631</v>
      </c>
    </row>
    <row r="79" spans="1:6" ht="15.75" x14ac:dyDescent="0.25">
      <c r="A79" s="16">
        <v>67</v>
      </c>
      <c r="B79" s="17" t="s">
        <v>66</v>
      </c>
      <c r="C79" s="18">
        <v>867509</v>
      </c>
      <c r="D79" s="18">
        <f>VLOOKUP(A79,'BASE '!$B$2:$AH$87,33,FALSE)</f>
        <v>213845.28999999998</v>
      </c>
      <c r="E79" s="18">
        <f t="shared" si="12"/>
        <v>-653663.71</v>
      </c>
      <c r="F79" s="19">
        <f t="shared" si="13"/>
        <v>0.24650498150451464</v>
      </c>
    </row>
    <row r="80" spans="1:6" ht="15.75" x14ac:dyDescent="0.25">
      <c r="A80" s="16">
        <v>61</v>
      </c>
      <c r="B80" s="17" t="s">
        <v>74</v>
      </c>
      <c r="C80" s="18">
        <v>481866</v>
      </c>
      <c r="D80" s="18">
        <f>VLOOKUP(A80,'BASE '!$B$2:$AH$87,33,FALSE)</f>
        <v>106071</v>
      </c>
      <c r="E80" s="18">
        <f t="shared" si="12"/>
        <v>-375795</v>
      </c>
      <c r="F80" s="19">
        <f t="shared" si="13"/>
        <v>0.22012551207182079</v>
      </c>
    </row>
    <row r="81" spans="1:6" ht="15.75" x14ac:dyDescent="0.25">
      <c r="A81" s="16">
        <v>104</v>
      </c>
      <c r="B81" s="17" t="s">
        <v>68</v>
      </c>
      <c r="C81" s="18">
        <v>71157</v>
      </c>
      <c r="D81" s="18">
        <f>VLOOKUP(A81,'BASE '!$B$2:$AH$87,33,FALSE)</f>
        <v>11731</v>
      </c>
      <c r="E81" s="18">
        <f t="shared" si="12"/>
        <v>-59426</v>
      </c>
      <c r="F81" s="19">
        <f t="shared" si="13"/>
        <v>0.16486080076450665</v>
      </c>
    </row>
    <row r="82" spans="1:6" ht="15.75" x14ac:dyDescent="0.25">
      <c r="A82" s="16">
        <v>105</v>
      </c>
      <c r="B82" s="17" t="s">
        <v>71</v>
      </c>
      <c r="C82" s="18">
        <v>377466</v>
      </c>
      <c r="D82" s="18">
        <f>VLOOKUP(A82,'BASE '!$B$2:$AH$87,33,FALSE)</f>
        <v>31682.7</v>
      </c>
      <c r="E82" s="18">
        <f t="shared" si="12"/>
        <v>-345783.3</v>
      </c>
      <c r="F82" s="19">
        <f t="shared" si="13"/>
        <v>8.3935241849597053E-2</v>
      </c>
    </row>
    <row r="83" spans="1:6" ht="15.75" x14ac:dyDescent="0.25">
      <c r="A83" s="16">
        <v>103</v>
      </c>
      <c r="B83" s="17" t="s">
        <v>65</v>
      </c>
      <c r="C83" s="18">
        <v>166229</v>
      </c>
      <c r="D83" s="18">
        <f>VLOOKUP(A83,'BASE '!$B$2:$AH$87,33,FALSE)</f>
        <v>42033.3</v>
      </c>
      <c r="E83" s="18">
        <f t="shared" si="12"/>
        <v>-124195.7</v>
      </c>
      <c r="F83" s="19">
        <f t="shared" si="13"/>
        <v>0.25286382039235034</v>
      </c>
    </row>
    <row r="84" spans="1:6" ht="15.75" x14ac:dyDescent="0.25">
      <c r="A84" s="16">
        <v>77</v>
      </c>
      <c r="B84" s="17" t="s">
        <v>72</v>
      </c>
      <c r="C84" s="18">
        <v>776603</v>
      </c>
      <c r="D84" s="18">
        <f>VLOOKUP(A84,'BASE '!$B$2:$AH$87,33,FALSE)</f>
        <v>169833.7</v>
      </c>
      <c r="E84" s="18">
        <f t="shared" si="12"/>
        <v>-606769.30000000005</v>
      </c>
      <c r="F84" s="19">
        <f t="shared" si="13"/>
        <v>0.21868792677854709</v>
      </c>
    </row>
    <row r="85" spans="1:6" ht="15.75" x14ac:dyDescent="0.25">
      <c r="A85" s="16">
        <v>75</v>
      </c>
      <c r="B85" s="17" t="s">
        <v>78</v>
      </c>
      <c r="C85" s="18">
        <v>1262280</v>
      </c>
      <c r="D85" s="18">
        <f>VLOOKUP(A85,'BASE '!$B$2:$AH$87,33,FALSE)</f>
        <v>530352.86</v>
      </c>
      <c r="E85" s="18">
        <f t="shared" si="12"/>
        <v>-731927.14</v>
      </c>
      <c r="F85" s="19">
        <f t="shared" si="13"/>
        <v>0.42015468834173081</v>
      </c>
    </row>
    <row r="86" spans="1:6" ht="15.75" x14ac:dyDescent="0.25">
      <c r="A86" s="16">
        <v>25</v>
      </c>
      <c r="B86" s="17" t="s">
        <v>76</v>
      </c>
      <c r="C86" s="18">
        <v>248584</v>
      </c>
      <c r="D86" s="18">
        <f>VLOOKUP(A86,'BASE '!$B$2:$AH$87,33,FALSE)</f>
        <v>51326.17</v>
      </c>
      <c r="E86" s="18">
        <f t="shared" si="12"/>
        <v>-197257.83000000002</v>
      </c>
      <c r="F86" s="19">
        <f t="shared" si="13"/>
        <v>0.20647414958323945</v>
      </c>
    </row>
    <row r="87" spans="1:6" ht="15.75" x14ac:dyDescent="0.25">
      <c r="A87" s="16">
        <v>87</v>
      </c>
      <c r="B87" s="17" t="s">
        <v>69</v>
      </c>
      <c r="C87" s="18">
        <v>495486</v>
      </c>
      <c r="D87" s="18">
        <f>VLOOKUP(A87,'BASE '!$B$2:$AH$87,33,FALSE)</f>
        <v>33292.6</v>
      </c>
      <c r="E87" s="18">
        <f t="shared" si="12"/>
        <v>-462193.4</v>
      </c>
      <c r="F87" s="19">
        <f t="shared" si="13"/>
        <v>6.7191807639368217E-2</v>
      </c>
    </row>
    <row r="88" spans="1:6" ht="15.75" x14ac:dyDescent="0.25">
      <c r="A88" s="16">
        <v>28</v>
      </c>
      <c r="B88" s="17" t="s">
        <v>81</v>
      </c>
      <c r="C88" s="18">
        <v>161553</v>
      </c>
      <c r="D88" s="18">
        <f>VLOOKUP(A88,'BASE '!$B$2:$AH$87,33,FALSE)</f>
        <v>7821.9</v>
      </c>
      <c r="E88" s="18">
        <f t="shared" si="12"/>
        <v>-153731.1</v>
      </c>
      <c r="F88" s="19">
        <f t="shared" si="13"/>
        <v>4.8416928190748547E-2</v>
      </c>
    </row>
    <row r="89" spans="1:6" ht="15.75" x14ac:dyDescent="0.25">
      <c r="A89" s="16">
        <v>26</v>
      </c>
      <c r="B89" s="17" t="s">
        <v>79</v>
      </c>
      <c r="C89" s="18">
        <v>139097</v>
      </c>
      <c r="D89" s="18">
        <f>VLOOKUP(A89,'BASE '!$B$2:$AH$87,33,FALSE)</f>
        <v>3020.7</v>
      </c>
      <c r="E89" s="18">
        <f t="shared" si="12"/>
        <v>-136076.29999999999</v>
      </c>
      <c r="F89" s="19">
        <f t="shared" si="13"/>
        <v>2.1716499996405386E-2</v>
      </c>
    </row>
    <row r="90" spans="1:6" ht="15.75" x14ac:dyDescent="0.25">
      <c r="A90" s="16">
        <v>76</v>
      </c>
      <c r="B90" s="17" t="s">
        <v>67</v>
      </c>
      <c r="C90" s="18">
        <v>396467.00000000006</v>
      </c>
      <c r="D90" s="18">
        <f>VLOOKUP(A90,'BASE '!$B$2:$AH$87,33,FALSE)</f>
        <v>6296.3</v>
      </c>
      <c r="E90" s="18">
        <f t="shared" si="12"/>
        <v>-390170.70000000007</v>
      </c>
      <c r="F90" s="19">
        <f t="shared" si="13"/>
        <v>1.5881019101211449E-2</v>
      </c>
    </row>
    <row r="91" spans="1:6" ht="15.75" x14ac:dyDescent="0.25">
      <c r="A91" s="16">
        <v>36</v>
      </c>
      <c r="B91" s="17" t="s">
        <v>82</v>
      </c>
      <c r="C91" s="18">
        <v>195026</v>
      </c>
      <c r="D91" s="18">
        <f>VLOOKUP(A91,'BASE '!$B$2:$AH$87,33,FALSE)</f>
        <v>18751.400000000001</v>
      </c>
      <c r="E91" s="18">
        <f t="shared" si="12"/>
        <v>-176274.6</v>
      </c>
      <c r="F91" s="19">
        <f t="shared" si="13"/>
        <v>9.6148205880241616E-2</v>
      </c>
    </row>
    <row r="92" spans="1:6" ht="15.75" x14ac:dyDescent="0.25">
      <c r="A92" s="16">
        <v>27</v>
      </c>
      <c r="B92" s="17" t="s">
        <v>75</v>
      </c>
      <c r="C92" s="18">
        <v>169036</v>
      </c>
      <c r="D92" s="18">
        <f>VLOOKUP(A92,'BASE '!$B$2:$AH$87,33,FALSE)</f>
        <v>4574</v>
      </c>
      <c r="E92" s="18">
        <f t="shared" si="12"/>
        <v>-164462</v>
      </c>
      <c r="F92" s="19">
        <f t="shared" si="13"/>
        <v>2.7059324640904894E-2</v>
      </c>
    </row>
    <row r="93" spans="1:6" ht="15.75" x14ac:dyDescent="0.25">
      <c r="A93" s="16">
        <v>107</v>
      </c>
      <c r="B93" s="17" t="s">
        <v>80</v>
      </c>
      <c r="C93" s="18">
        <v>124784.00000000001</v>
      </c>
      <c r="D93" s="18">
        <f>VLOOKUP(A93,'BASE '!$B$2:$AH$87,33,FALSE)</f>
        <v>983</v>
      </c>
      <c r="E93" s="18">
        <f t="shared" si="12"/>
        <v>-123801.00000000001</v>
      </c>
      <c r="F93" s="19">
        <f t="shared" si="13"/>
        <v>7.8776125144249254E-3</v>
      </c>
    </row>
    <row r="94" spans="1:6" ht="15.75" x14ac:dyDescent="0.25">
      <c r="A94" s="16">
        <v>106</v>
      </c>
      <c r="B94" s="17" t="s">
        <v>77</v>
      </c>
      <c r="C94" s="18">
        <v>83604</v>
      </c>
      <c r="D94" s="18">
        <f>VLOOKUP(A94,'BASE '!$B$2:$AH$87,33,FALSE)</f>
        <v>1192</v>
      </c>
      <c r="E94" s="18">
        <f t="shared" si="12"/>
        <v>-82412</v>
      </c>
      <c r="F94" s="19">
        <f t="shared" si="13"/>
        <v>1.4257691019568442E-2</v>
      </c>
    </row>
    <row r="95" spans="1:6" ht="15.75" x14ac:dyDescent="0.25">
      <c r="A95" s="168" t="s">
        <v>130</v>
      </c>
      <c r="B95" s="169"/>
      <c r="C95" s="31">
        <f>SUM(C77:C94)</f>
        <v>7703791</v>
      </c>
      <c r="D95" s="31">
        <f>SUM(D77:D94)</f>
        <v>1787433.2899877927</v>
      </c>
      <c r="E95" s="32">
        <f>SUM(E77:E94)</f>
        <v>-5916357.7100122068</v>
      </c>
      <c r="F95" s="33">
        <f t="shared" ref="F95" si="14">D95/C95</f>
        <v>0.23201996133952657</v>
      </c>
    </row>
    <row r="97" spans="1:6" x14ac:dyDescent="0.25">
      <c r="A97" s="1" t="s">
        <v>101</v>
      </c>
      <c r="B97" s="25"/>
      <c r="C97" s="26"/>
    </row>
    <row r="98" spans="1:6" ht="30" x14ac:dyDescent="0.25">
      <c r="A98" s="5" t="s">
        <v>2</v>
      </c>
      <c r="B98" s="4" t="s">
        <v>3</v>
      </c>
      <c r="C98" s="4" t="s">
        <v>21</v>
      </c>
      <c r="D98" s="4" t="str">
        <f>'BASE '!P92</f>
        <v>ENCAISSEMENTS AU 12/04/2026</v>
      </c>
      <c r="E98" s="4" t="s">
        <v>4</v>
      </c>
      <c r="F98" s="4" t="s">
        <v>115</v>
      </c>
    </row>
    <row r="99" spans="1:6" ht="15.75" x14ac:dyDescent="0.25">
      <c r="A99" s="16">
        <v>66</v>
      </c>
      <c r="B99" s="17" t="s">
        <v>32</v>
      </c>
      <c r="C99" s="18">
        <v>820145</v>
      </c>
      <c r="D99" s="18">
        <f>VLOOKUP(A99,'BASE '!$B$2:$AH$87,33,FALSE)</f>
        <v>243454.50000000003</v>
      </c>
      <c r="E99" s="18">
        <f t="shared" ref="E99:E105" si="15">D99-C99</f>
        <v>-576690.5</v>
      </c>
      <c r="F99" s="19">
        <f t="shared" ref="F99:F105" si="16">D99/C99</f>
        <v>0.29684324113418969</v>
      </c>
    </row>
    <row r="100" spans="1:6" ht="15.75" x14ac:dyDescent="0.25">
      <c r="A100" s="16">
        <v>14</v>
      </c>
      <c r="B100" s="17" t="s">
        <v>37</v>
      </c>
      <c r="C100" s="18">
        <v>175919</v>
      </c>
      <c r="D100" s="18">
        <f>VLOOKUP(A100,'BASE '!$B$2:$AH$87,33,FALSE)</f>
        <v>13614</v>
      </c>
      <c r="E100" s="18">
        <f t="shared" si="15"/>
        <v>-162305</v>
      </c>
      <c r="F100" s="19">
        <f t="shared" si="16"/>
        <v>7.7387888744251621E-2</v>
      </c>
    </row>
    <row r="101" spans="1:6" ht="15.75" x14ac:dyDescent="0.25">
      <c r="A101" s="16">
        <v>17</v>
      </c>
      <c r="B101" s="17" t="s">
        <v>31</v>
      </c>
      <c r="C101" s="18">
        <v>155016</v>
      </c>
      <c r="D101" s="18">
        <f>VLOOKUP(A101,'BASE '!$B$2:$AH$87,33,FALSE)</f>
        <v>18860.900000000001</v>
      </c>
      <c r="E101" s="18">
        <f t="shared" si="15"/>
        <v>-136155.1</v>
      </c>
      <c r="F101" s="19">
        <f t="shared" si="16"/>
        <v>0.12167066625380607</v>
      </c>
    </row>
    <row r="102" spans="1:6" ht="15.75" x14ac:dyDescent="0.25">
      <c r="A102" s="16">
        <v>16</v>
      </c>
      <c r="B102" s="17" t="s">
        <v>29</v>
      </c>
      <c r="C102" s="18">
        <v>139439</v>
      </c>
      <c r="D102" s="18">
        <f>VLOOKUP(A102,'BASE '!$B$2:$AH$87,33,FALSE)</f>
        <v>14931.3</v>
      </c>
      <c r="E102" s="18">
        <f t="shared" si="15"/>
        <v>-124507.7</v>
      </c>
      <c r="F102" s="19">
        <f t="shared" si="16"/>
        <v>0.1070812326537052</v>
      </c>
    </row>
    <row r="103" spans="1:6" ht="15.75" x14ac:dyDescent="0.25">
      <c r="A103" s="16">
        <v>62</v>
      </c>
      <c r="B103" s="17" t="s">
        <v>38</v>
      </c>
      <c r="C103" s="18">
        <v>739055</v>
      </c>
      <c r="D103" s="18">
        <f>VLOOKUP(A103,'BASE '!$B$2:$AH$87,33,FALSE)</f>
        <v>24508.799999999999</v>
      </c>
      <c r="E103" s="18">
        <f t="shared" si="15"/>
        <v>-714546.2</v>
      </c>
      <c r="F103" s="19">
        <f t="shared" si="16"/>
        <v>3.3162349216228834E-2</v>
      </c>
    </row>
    <row r="104" spans="1:6" ht="15.75" x14ac:dyDescent="0.25">
      <c r="A104" s="16">
        <v>18</v>
      </c>
      <c r="B104" s="17" t="s">
        <v>34</v>
      </c>
      <c r="C104" s="18">
        <v>100429</v>
      </c>
      <c r="D104" s="18">
        <f>VLOOKUP(A104,'BASE '!$B$2:$AH$87,33,FALSE)</f>
        <v>1746</v>
      </c>
      <c r="E104" s="18">
        <f t="shared" si="15"/>
        <v>-98683</v>
      </c>
      <c r="F104" s="19">
        <f t="shared" si="16"/>
        <v>1.7385416562944966E-2</v>
      </c>
    </row>
    <row r="105" spans="1:6" ht="15.75" x14ac:dyDescent="0.25">
      <c r="A105" s="16">
        <v>21</v>
      </c>
      <c r="B105" s="17" t="s">
        <v>30</v>
      </c>
      <c r="C105" s="18">
        <v>74255</v>
      </c>
      <c r="D105" s="18">
        <f>VLOOKUP(A105,'BASE '!$B$2:$AH$87,33,FALSE)</f>
        <v>1493</v>
      </c>
      <c r="E105" s="18">
        <f t="shared" si="15"/>
        <v>-72762</v>
      </c>
      <c r="F105" s="19">
        <f t="shared" si="16"/>
        <v>2.0106390142077976E-2</v>
      </c>
    </row>
    <row r="106" spans="1:6" ht="15.75" x14ac:dyDescent="0.25">
      <c r="A106" s="50" t="s">
        <v>131</v>
      </c>
      <c r="B106" s="51"/>
      <c r="C106" s="20">
        <f>SUM(C99:C105)</f>
        <v>2204258</v>
      </c>
      <c r="D106" s="20">
        <f>SUM(D99:D105)</f>
        <v>318608.5</v>
      </c>
      <c r="E106" s="31">
        <f>SUM(E99:E105)</f>
        <v>-1885649.5</v>
      </c>
      <c r="F106" s="33">
        <f t="shared" ref="F106" si="17">D106/C106</f>
        <v>0.14454229042153868</v>
      </c>
    </row>
    <row r="108" spans="1:6" x14ac:dyDescent="0.25">
      <c r="A108" s="1" t="s">
        <v>118</v>
      </c>
      <c r="B108" s="25"/>
      <c r="C108" s="26"/>
    </row>
    <row r="109" spans="1:6" ht="30" x14ac:dyDescent="0.25">
      <c r="A109" s="5" t="s">
        <v>2</v>
      </c>
      <c r="B109" s="4" t="s">
        <v>3</v>
      </c>
      <c r="C109" s="4" t="s">
        <v>21</v>
      </c>
      <c r="D109" s="4" t="str">
        <f>'BASE '!P92</f>
        <v>ENCAISSEMENTS AU 12/04/2026</v>
      </c>
      <c r="E109" s="4" t="s">
        <v>4</v>
      </c>
      <c r="F109" s="4" t="s">
        <v>115</v>
      </c>
    </row>
    <row r="110" spans="1:6" ht="15.75" x14ac:dyDescent="0.25">
      <c r="A110" s="16">
        <v>39</v>
      </c>
      <c r="B110" s="49" t="s">
        <v>109</v>
      </c>
      <c r="C110" s="18">
        <v>850000</v>
      </c>
      <c r="D110" s="18">
        <f>VLOOKUP(A110,'BASE '!$B$2:$AH$87,33,FALSE)</f>
        <v>262281.80000000005</v>
      </c>
      <c r="E110" s="18">
        <f t="shared" ref="E110:E118" si="18">D110-C110</f>
        <v>-587718.19999999995</v>
      </c>
      <c r="F110" s="19">
        <f t="shared" ref="F110:F118" si="19">D110/C110</f>
        <v>0.30856682352941184</v>
      </c>
    </row>
    <row r="111" spans="1:6" ht="15.75" x14ac:dyDescent="0.25">
      <c r="A111" s="16">
        <v>74</v>
      </c>
      <c r="B111" s="49" t="s">
        <v>61</v>
      </c>
      <c r="C111" s="18">
        <v>457930</v>
      </c>
      <c r="D111" s="18">
        <f>VLOOKUP(A111,'BASE '!$B$2:$AH$87,33,FALSE)</f>
        <v>61337.7</v>
      </c>
      <c r="E111" s="18">
        <f t="shared" si="18"/>
        <v>-396592.3</v>
      </c>
      <c r="F111" s="19">
        <f t="shared" si="19"/>
        <v>0.13394558120236716</v>
      </c>
    </row>
    <row r="112" spans="1:6" ht="15.75" x14ac:dyDescent="0.25">
      <c r="A112" s="16">
        <v>73</v>
      </c>
      <c r="B112" s="49" t="s">
        <v>110</v>
      </c>
      <c r="C112" s="18">
        <v>1150000</v>
      </c>
      <c r="D112" s="18">
        <f>VLOOKUP(A112,'BASE '!$B$2:$AH$87,33,FALSE)</f>
        <v>281223.59999999998</v>
      </c>
      <c r="E112" s="18">
        <f t="shared" si="18"/>
        <v>-868776.4</v>
      </c>
      <c r="F112" s="19">
        <f t="shared" si="19"/>
        <v>0.24454226086956521</v>
      </c>
    </row>
    <row r="113" spans="1:6" ht="15.75" x14ac:dyDescent="0.25">
      <c r="A113" s="16">
        <v>78</v>
      </c>
      <c r="B113" s="49" t="s">
        <v>33</v>
      </c>
      <c r="C113" s="18">
        <v>820145</v>
      </c>
      <c r="D113" s="18">
        <f>VLOOKUP(A113,'BASE '!$B$2:$AH$87,33,FALSE)</f>
        <v>76844.97</v>
      </c>
      <c r="E113" s="18">
        <f t="shared" si="18"/>
        <v>-743300.03</v>
      </c>
      <c r="F113" s="19">
        <f t="shared" si="19"/>
        <v>9.369680971047803E-2</v>
      </c>
    </row>
    <row r="114" spans="1:6" ht="15.75" x14ac:dyDescent="0.25">
      <c r="A114" s="16">
        <v>30</v>
      </c>
      <c r="B114" s="49" t="s">
        <v>46</v>
      </c>
      <c r="C114" s="18">
        <v>56962</v>
      </c>
      <c r="D114" s="18">
        <f>VLOOKUP(A114,'BASE '!$B$2:$AH$87,33,FALSE)</f>
        <v>1981</v>
      </c>
      <c r="E114" s="18">
        <f t="shared" si="18"/>
        <v>-54981</v>
      </c>
      <c r="F114" s="19">
        <f t="shared" si="19"/>
        <v>3.4777571012253782E-2</v>
      </c>
    </row>
    <row r="115" spans="1:6" ht="15.75" x14ac:dyDescent="0.25">
      <c r="A115" s="16">
        <v>31</v>
      </c>
      <c r="B115" s="49" t="s">
        <v>51</v>
      </c>
      <c r="C115" s="18">
        <v>103221</v>
      </c>
      <c r="D115" s="18">
        <f>VLOOKUP(A115,'BASE '!$B$2:$AH$87,33,FALSE)</f>
        <v>3513</v>
      </c>
      <c r="E115" s="18">
        <f t="shared" si="18"/>
        <v>-99708</v>
      </c>
      <c r="F115" s="19">
        <f t="shared" si="19"/>
        <v>3.403377219751795E-2</v>
      </c>
    </row>
    <row r="116" spans="1:6" ht="15.75" x14ac:dyDescent="0.25">
      <c r="A116" s="16">
        <v>82</v>
      </c>
      <c r="B116" s="49" t="s">
        <v>57</v>
      </c>
      <c r="C116" s="18">
        <v>242456</v>
      </c>
      <c r="D116" s="18">
        <f>VLOOKUP(A116,'BASE '!$B$2:$AH$87,33,FALSE)</f>
        <v>28512.499999999996</v>
      </c>
      <c r="E116" s="18">
        <f t="shared" si="18"/>
        <v>-213943.5</v>
      </c>
      <c r="F116" s="19">
        <f t="shared" si="19"/>
        <v>0.11759865707592304</v>
      </c>
    </row>
    <row r="117" spans="1:6" ht="15.75" x14ac:dyDescent="0.25">
      <c r="A117" s="16">
        <v>19</v>
      </c>
      <c r="B117" s="49" t="s">
        <v>36</v>
      </c>
      <c r="C117" s="18">
        <v>77520</v>
      </c>
      <c r="D117" s="18">
        <f>VLOOKUP(A117,'BASE '!$B$2:$AH$87,33,FALSE)</f>
        <v>5526</v>
      </c>
      <c r="E117" s="18">
        <f t="shared" si="18"/>
        <v>-71994</v>
      </c>
      <c r="F117" s="19">
        <f t="shared" si="19"/>
        <v>7.1284829721362228E-2</v>
      </c>
    </row>
    <row r="118" spans="1:6" ht="15.75" x14ac:dyDescent="0.25">
      <c r="A118" s="16">
        <v>20</v>
      </c>
      <c r="B118" s="49" t="s">
        <v>35</v>
      </c>
      <c r="C118" s="18">
        <v>80802</v>
      </c>
      <c r="D118" s="18">
        <f>VLOOKUP(A118,'BASE '!$B$2:$AH$87,33,FALSE)</f>
        <v>608.20000000000005</v>
      </c>
      <c r="E118" s="18">
        <f t="shared" si="18"/>
        <v>-80193.8</v>
      </c>
      <c r="F118" s="19">
        <f t="shared" si="19"/>
        <v>7.5270414098660933E-3</v>
      </c>
    </row>
    <row r="119" spans="1:6" ht="15.75" x14ac:dyDescent="0.25">
      <c r="A119" s="50" t="s">
        <v>132</v>
      </c>
      <c r="B119" s="51"/>
      <c r="C119" s="20">
        <f>SUM(C110:C118)</f>
        <v>3839036</v>
      </c>
      <c r="D119" s="20">
        <f>SUM(D110:D118)</f>
        <v>721828.77</v>
      </c>
      <c r="E119" s="31">
        <f>SUM(E110:E118)</f>
        <v>-3117207.2299999995</v>
      </c>
      <c r="F119" s="33">
        <f t="shared" ref="F119" si="20">D119/C119</f>
        <v>0.18802344390623063</v>
      </c>
    </row>
    <row r="121" spans="1:6" x14ac:dyDescent="0.25">
      <c r="A121" s="1" t="s">
        <v>100</v>
      </c>
      <c r="B121" s="25"/>
      <c r="C121" s="26"/>
    </row>
    <row r="122" spans="1:6" ht="30" x14ac:dyDescent="0.25">
      <c r="A122" s="5" t="s">
        <v>2</v>
      </c>
      <c r="B122" s="4" t="s">
        <v>3</v>
      </c>
      <c r="C122" s="4" t="s">
        <v>21</v>
      </c>
      <c r="D122" s="4" t="str">
        <f>'BASE '!P92</f>
        <v>ENCAISSEMENTS AU 12/04/2026</v>
      </c>
      <c r="E122" s="4" t="s">
        <v>4</v>
      </c>
      <c r="F122" s="4" t="s">
        <v>117</v>
      </c>
    </row>
    <row r="123" spans="1:6" ht="15.75" x14ac:dyDescent="0.25">
      <c r="A123" s="16">
        <v>23</v>
      </c>
      <c r="B123" s="17" t="s">
        <v>42</v>
      </c>
      <c r="C123" s="18">
        <v>569212</v>
      </c>
      <c r="D123" s="18">
        <f>VLOOKUP(A123,'BASE '!$B$2:$AH$87,33,FALSE)</f>
        <v>176643.30000000002</v>
      </c>
      <c r="E123" s="18">
        <f t="shared" ref="E123:E128" si="21">D123-C123</f>
        <v>-392568.69999999995</v>
      </c>
      <c r="F123" s="19">
        <f t="shared" ref="F123:F128" si="22">D123/C123</f>
        <v>0.31032954329845475</v>
      </c>
    </row>
    <row r="124" spans="1:6" ht="15.75" x14ac:dyDescent="0.25">
      <c r="A124" s="16">
        <v>64</v>
      </c>
      <c r="B124" s="17" t="s">
        <v>40</v>
      </c>
      <c r="C124" s="18">
        <v>1293702</v>
      </c>
      <c r="D124" s="18">
        <f>VLOOKUP(A124,'BASE '!$B$2:$AH$87,33,FALSE)</f>
        <v>409021.68999999994</v>
      </c>
      <c r="E124" s="18">
        <f t="shared" si="21"/>
        <v>-884680.31</v>
      </c>
      <c r="F124" s="19">
        <f t="shared" si="22"/>
        <v>0.3161637610516177</v>
      </c>
    </row>
    <row r="125" spans="1:6" ht="15.75" x14ac:dyDescent="0.25">
      <c r="A125" s="16">
        <v>68</v>
      </c>
      <c r="B125" s="17" t="s">
        <v>41</v>
      </c>
      <c r="C125" s="18">
        <v>1084933</v>
      </c>
      <c r="D125" s="18">
        <f>VLOOKUP(A125,'BASE '!$B$2:$AH$87,33,FALSE)</f>
        <v>165125.99000000002</v>
      </c>
      <c r="E125" s="18">
        <f t="shared" si="21"/>
        <v>-919807.01</v>
      </c>
      <c r="F125" s="19">
        <f t="shared" si="22"/>
        <v>0.15219925101365708</v>
      </c>
    </row>
    <row r="126" spans="1:6" ht="15.75" x14ac:dyDescent="0.25">
      <c r="A126" s="16">
        <v>69</v>
      </c>
      <c r="B126" s="17" t="s">
        <v>39</v>
      </c>
      <c r="C126" s="18">
        <v>400443</v>
      </c>
      <c r="D126" s="18">
        <f>VLOOKUP(A126,'BASE '!$B$2:$AH$87,33,FALSE)</f>
        <v>72523.5</v>
      </c>
      <c r="E126" s="18">
        <f t="shared" si="21"/>
        <v>-327919.5</v>
      </c>
      <c r="F126" s="19">
        <f t="shared" si="22"/>
        <v>0.18110817269873614</v>
      </c>
    </row>
    <row r="127" spans="1:6" ht="15.75" x14ac:dyDescent="0.25">
      <c r="A127" s="16">
        <v>108</v>
      </c>
      <c r="B127" s="17" t="s">
        <v>44</v>
      </c>
      <c r="C127" s="18">
        <v>69612</v>
      </c>
      <c r="D127" s="18">
        <f>VLOOKUP(A127,'BASE '!$B$2:$AH$87,33,FALSE)</f>
        <v>1187</v>
      </c>
      <c r="E127" s="18">
        <f t="shared" si="21"/>
        <v>-68425</v>
      </c>
      <c r="F127" s="19">
        <f t="shared" si="22"/>
        <v>1.7051657760156293E-2</v>
      </c>
    </row>
    <row r="128" spans="1:6" ht="15.75" x14ac:dyDescent="0.25">
      <c r="A128" s="16">
        <v>24</v>
      </c>
      <c r="B128" s="17" t="s">
        <v>43</v>
      </c>
      <c r="C128" s="18">
        <v>268612</v>
      </c>
      <c r="D128" s="18">
        <f>VLOOKUP(A128,'BASE '!$B$2:$AH$87,33,FALSE)</f>
        <v>12059.4</v>
      </c>
      <c r="E128" s="18">
        <f t="shared" si="21"/>
        <v>-256552.6</v>
      </c>
      <c r="F128" s="19">
        <f t="shared" si="22"/>
        <v>4.4895239229818473E-2</v>
      </c>
    </row>
    <row r="129" spans="1:6" ht="15.75" x14ac:dyDescent="0.25">
      <c r="A129" s="168" t="s">
        <v>133</v>
      </c>
      <c r="B129" s="169"/>
      <c r="C129" s="20">
        <f>SUM(C123:C128)</f>
        <v>3686514</v>
      </c>
      <c r="D129" s="20">
        <f>SUM(D123:D128)</f>
        <v>836560.88</v>
      </c>
      <c r="E129" s="22">
        <f>SUM(E123:E128)</f>
        <v>-2849953.12</v>
      </c>
      <c r="F129" s="23">
        <f t="shared" ref="F129:F131" si="23">D129/C129</f>
        <v>0.22692464479993837</v>
      </c>
    </row>
    <row r="131" spans="1:6" ht="15.75" x14ac:dyDescent="0.25">
      <c r="A131" s="45" t="s">
        <v>122</v>
      </c>
      <c r="B131" s="46"/>
      <c r="C131" s="57">
        <f>C73+C95+C106+C119+C129</f>
        <v>23759771</v>
      </c>
      <c r="D131" s="57">
        <f>D73+D95+D106+D119+D129</f>
        <v>5289369.7299877927</v>
      </c>
      <c r="E131" s="57">
        <f t="shared" ref="E131" si="24">E73+E95+E106+E119+E129</f>
        <v>-18470401.270012207</v>
      </c>
      <c r="F131" s="23">
        <f t="shared" si="23"/>
        <v>0.22261871673711808</v>
      </c>
    </row>
    <row r="133" spans="1:6" ht="15.75" thickBot="1" x14ac:dyDescent="0.3"/>
    <row r="134" spans="1:6" ht="19.5" thickBot="1" x14ac:dyDescent="0.35">
      <c r="A134" s="103" t="s">
        <v>123</v>
      </c>
      <c r="B134" s="104"/>
      <c r="C134" s="105">
        <f>C131+C53+C43</f>
        <v>122538220.30000001</v>
      </c>
      <c r="D134" s="105">
        <f>+D43+D53+D131</f>
        <v>28664846.54298779</v>
      </c>
      <c r="E134" s="105">
        <f t="shared" ref="E134" si="25">E131+E53+E43</f>
        <v>-93873373.757012218</v>
      </c>
      <c r="F134" s="106">
        <f t="shared" ref="F134" si="26">D134/C134</f>
        <v>0.23392576187911052</v>
      </c>
    </row>
    <row r="137" spans="1:6" x14ac:dyDescent="0.25">
      <c r="D137" s="26"/>
    </row>
    <row r="139" spans="1:6" ht="15.75" thickBot="1" x14ac:dyDescent="0.3">
      <c r="B139" s="1" t="s">
        <v>154</v>
      </c>
    </row>
    <row r="140" spans="1:6" ht="40.5" customHeight="1" thickBot="1" x14ac:dyDescent="0.3">
      <c r="B140" s="83" t="s">
        <v>20</v>
      </c>
      <c r="C140" s="84" t="s">
        <v>21</v>
      </c>
      <c r="D140" s="84" t="str">
        <f>'BASE '!P92</f>
        <v>ENCAISSEMENTS AU 12/04/2026</v>
      </c>
      <c r="E140" s="84" t="s">
        <v>4</v>
      </c>
      <c r="F140" s="100" t="s">
        <v>117</v>
      </c>
    </row>
    <row r="141" spans="1:6" ht="15.75" x14ac:dyDescent="0.25">
      <c r="B141" s="74" t="s">
        <v>141</v>
      </c>
      <c r="C141" s="70">
        <v>27475342.400000002</v>
      </c>
      <c r="D141" s="70">
        <f>D31</f>
        <v>5677396.5810000002</v>
      </c>
      <c r="E141" s="70">
        <f>D141-C141</f>
        <v>-21797945.819000002</v>
      </c>
      <c r="F141" s="19">
        <f t="shared" ref="F141:F149" si="27">D141/C141</f>
        <v>0.20663606292309572</v>
      </c>
    </row>
    <row r="142" spans="1:6" ht="15.75" x14ac:dyDescent="0.25">
      <c r="B142" s="75" t="s">
        <v>139</v>
      </c>
      <c r="C142" s="68">
        <v>35506460</v>
      </c>
      <c r="D142" s="68">
        <f>D41</f>
        <v>9071784.8100000005</v>
      </c>
      <c r="E142" s="68">
        <f t="shared" ref="E142:E150" si="28">D142-C142</f>
        <v>-26434675.189999998</v>
      </c>
      <c r="F142" s="19">
        <f t="shared" si="27"/>
        <v>0.25549674087475915</v>
      </c>
    </row>
    <row r="143" spans="1:6" ht="15.75" x14ac:dyDescent="0.25">
      <c r="B143" s="76" t="s">
        <v>135</v>
      </c>
      <c r="C143" s="68">
        <v>22698808</v>
      </c>
      <c r="D143" s="68">
        <f>D15</f>
        <v>6230583.5419999994</v>
      </c>
      <c r="E143" s="68">
        <f t="shared" si="28"/>
        <v>-16468224.458000001</v>
      </c>
      <c r="F143" s="19">
        <f t="shared" si="27"/>
        <v>0.27448945962272553</v>
      </c>
    </row>
    <row r="144" spans="1:6" ht="15.75" x14ac:dyDescent="0.25">
      <c r="B144" s="77" t="s">
        <v>105</v>
      </c>
      <c r="C144" s="68">
        <v>13097838.9</v>
      </c>
      <c r="D144" s="68">
        <f>D51</f>
        <v>2395711.88</v>
      </c>
      <c r="E144" s="68">
        <f t="shared" si="28"/>
        <v>-10702127.02</v>
      </c>
      <c r="F144" s="19">
        <f t="shared" si="27"/>
        <v>0.18290894385637924</v>
      </c>
    </row>
    <row r="145" spans="2:6" ht="15.75" x14ac:dyDescent="0.25">
      <c r="B145" s="76" t="s">
        <v>138</v>
      </c>
      <c r="C145" s="68">
        <v>3686514</v>
      </c>
      <c r="D145" s="68">
        <f>D129</f>
        <v>836560.88</v>
      </c>
      <c r="E145" s="68">
        <f t="shared" si="28"/>
        <v>-2849953.12</v>
      </c>
      <c r="F145" s="19">
        <f t="shared" si="27"/>
        <v>0.22692464479993837</v>
      </c>
    </row>
    <row r="146" spans="2:6" ht="15.75" x14ac:dyDescent="0.25">
      <c r="B146" s="76" t="s">
        <v>137</v>
      </c>
      <c r="C146" s="68">
        <v>7703791</v>
      </c>
      <c r="D146" s="68">
        <f>D95</f>
        <v>1787433.2899877927</v>
      </c>
      <c r="E146" s="68">
        <f t="shared" si="28"/>
        <v>-5916357.7100122068</v>
      </c>
      <c r="F146" s="19">
        <f t="shared" si="27"/>
        <v>0.23201996133952657</v>
      </c>
    </row>
    <row r="147" spans="2:6" ht="15.75" x14ac:dyDescent="0.25">
      <c r="B147" s="78" t="s">
        <v>134</v>
      </c>
      <c r="C147" s="68">
        <v>2204258</v>
      </c>
      <c r="D147" s="68">
        <f>D106</f>
        <v>318608.5</v>
      </c>
      <c r="E147" s="68">
        <f t="shared" si="28"/>
        <v>-1885649.5</v>
      </c>
      <c r="F147" s="19">
        <f t="shared" si="27"/>
        <v>0.14454229042153868</v>
      </c>
    </row>
    <row r="148" spans="2:6" ht="15.75" x14ac:dyDescent="0.25">
      <c r="B148" s="78" t="s">
        <v>136</v>
      </c>
      <c r="C148" s="68">
        <v>6326172</v>
      </c>
      <c r="D148" s="68">
        <f>D73</f>
        <v>1624938.29</v>
      </c>
      <c r="E148" s="68">
        <f t="shared" si="28"/>
        <v>-4701233.71</v>
      </c>
      <c r="F148" s="19">
        <f t="shared" si="27"/>
        <v>0.25685964434732411</v>
      </c>
    </row>
    <row r="149" spans="2:6" ht="15.75" x14ac:dyDescent="0.25">
      <c r="B149" s="78" t="s">
        <v>140</v>
      </c>
      <c r="C149" s="68">
        <v>3839036</v>
      </c>
      <c r="D149" s="68">
        <f>D119</f>
        <v>721828.77</v>
      </c>
      <c r="E149" s="68">
        <f t="shared" si="28"/>
        <v>-3117207.23</v>
      </c>
      <c r="F149" s="19">
        <f t="shared" si="27"/>
        <v>0.18802344390623063</v>
      </c>
    </row>
    <row r="150" spans="2:6" ht="19.5" thickBot="1" x14ac:dyDescent="0.35">
      <c r="B150" s="69" t="s">
        <v>123</v>
      </c>
      <c r="C150" s="101">
        <f>SUM(C141:C149)</f>
        <v>122538220.30000001</v>
      </c>
      <c r="D150" s="101">
        <f>SUM(D141:D149)</f>
        <v>28664846.542987786</v>
      </c>
      <c r="E150" s="101">
        <f t="shared" si="28"/>
        <v>-93873373.757012218</v>
      </c>
      <c r="F150" s="102">
        <f>D150/C150</f>
        <v>0.23392576187911049</v>
      </c>
    </row>
  </sheetData>
  <sortState xmlns:xlrd2="http://schemas.microsoft.com/office/spreadsheetml/2017/richdata2" ref="A20:F30">
    <sortCondition descending="1" ref="F20:F30"/>
  </sortState>
  <mergeCells count="7">
    <mergeCell ref="A95:B95"/>
    <mergeCell ref="A129:B129"/>
    <mergeCell ref="A41:B41"/>
    <mergeCell ref="D3:F3"/>
    <mergeCell ref="D4:F4"/>
    <mergeCell ref="A15:B15"/>
    <mergeCell ref="A31:B31"/>
  </mergeCell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3B3C06-69F6-40EE-8411-F89DD687FD65}">
  <sheetPr>
    <tabColor theme="4" tint="-0.249977111117893"/>
  </sheetPr>
  <dimension ref="A1:AF123"/>
  <sheetViews>
    <sheetView tabSelected="1" zoomScale="85" zoomScaleNormal="85" workbookViewId="0">
      <selection activeCell="A25" sqref="A25:O36"/>
    </sheetView>
  </sheetViews>
  <sheetFormatPr baseColWidth="10" defaultRowHeight="15" x14ac:dyDescent="0.25"/>
  <cols>
    <col min="1" max="1" width="17" customWidth="1"/>
    <col min="2" max="2" width="8.5703125" customWidth="1"/>
    <col min="3" max="3" width="22.140625" bestFit="1" customWidth="1"/>
    <col min="4" max="4" width="16.140625" customWidth="1"/>
    <col min="5" max="11" width="11.42578125" hidden="1" customWidth="1"/>
    <col min="12" max="12" width="5" customWidth="1"/>
    <col min="13" max="13" width="15.5703125" style="26" customWidth="1"/>
    <col min="14" max="14" width="4.5703125" customWidth="1"/>
    <col min="15" max="15" width="13.7109375" customWidth="1"/>
  </cols>
  <sheetData>
    <row r="1" spans="1:15" x14ac:dyDescent="0.25">
      <c r="A1" s="1" t="s">
        <v>0</v>
      </c>
      <c r="B1" s="1"/>
    </row>
    <row r="2" spans="1:15" x14ac:dyDescent="0.25">
      <c r="A2" s="1" t="s">
        <v>1</v>
      </c>
      <c r="B2" s="1"/>
    </row>
    <row r="3" spans="1:15" ht="15.75" x14ac:dyDescent="0.25">
      <c r="A3" s="1" t="s">
        <v>153</v>
      </c>
      <c r="B3" s="1"/>
      <c r="D3" s="81"/>
    </row>
    <row r="4" spans="1:15" ht="10.5" customHeight="1" thickBot="1" x14ac:dyDescent="0.3">
      <c r="B4" s="1"/>
      <c r="C4" s="2"/>
      <c r="D4" s="82"/>
    </row>
    <row r="5" spans="1:15" ht="31.5" customHeight="1" thickBot="1" x14ac:dyDescent="0.3">
      <c r="A5" s="119" t="s">
        <v>142</v>
      </c>
      <c r="B5" s="120" t="s">
        <v>2</v>
      </c>
      <c r="C5" s="121" t="s">
        <v>3</v>
      </c>
      <c r="D5" s="100" t="str">
        <f>'BASE '!P92</f>
        <v>ENCAISSEMENTS AU 12/04/2026</v>
      </c>
      <c r="M5" s="122" t="str">
        <f>'MOIS COMP'!I92</f>
        <v>ENCAISSEMENTS AU 12/12/2025</v>
      </c>
      <c r="O5" s="140" t="s">
        <v>143</v>
      </c>
    </row>
    <row r="6" spans="1:15" ht="15.75" thickBot="1" x14ac:dyDescent="0.3">
      <c r="A6" s="114" t="s">
        <v>94</v>
      </c>
      <c r="B6" s="115">
        <v>41</v>
      </c>
      <c r="C6" s="116" t="s">
        <v>83</v>
      </c>
      <c r="D6" s="123">
        <f>VLOOKUP(B6,'BASE '!B7:AH92,33,FALSE)</f>
        <v>1049827.5919999999</v>
      </c>
      <c r="E6" s="124"/>
      <c r="F6" s="124"/>
      <c r="G6" s="124"/>
      <c r="H6" s="124"/>
      <c r="I6" s="124"/>
      <c r="J6" s="124"/>
      <c r="K6" s="124"/>
      <c r="M6" s="125">
        <f>VLOOKUP(B6,'MOIS COMP'!A8:AG93,33,FALSE)</f>
        <v>948869.59999999986</v>
      </c>
      <c r="O6" s="126">
        <f>D6-M6</f>
        <v>100957.99200000009</v>
      </c>
    </row>
    <row r="7" spans="1:15" ht="15.75" thickBot="1" x14ac:dyDescent="0.3">
      <c r="A7" s="89" t="s">
        <v>94</v>
      </c>
      <c r="B7" s="6">
        <v>47</v>
      </c>
      <c r="C7" s="7" t="s">
        <v>91</v>
      </c>
      <c r="D7" s="123">
        <f>VLOOKUP(B7,'BASE '!B4:AH89,33,FALSE)</f>
        <v>789965.59</v>
      </c>
      <c r="M7" s="125">
        <f>VLOOKUP(B7,'MOIS COMP'!A5:AG90,33,FALSE)</f>
        <v>770898.69099999999</v>
      </c>
      <c r="O7" s="110">
        <f>D7-M7</f>
        <v>19066.898999999976</v>
      </c>
    </row>
    <row r="8" spans="1:15" ht="15.75" thickBot="1" x14ac:dyDescent="0.3">
      <c r="A8" s="89" t="s">
        <v>94</v>
      </c>
      <c r="B8" s="6">
        <v>99</v>
      </c>
      <c r="C8" s="34" t="s">
        <v>8</v>
      </c>
      <c r="D8" s="123">
        <f>VLOOKUP(B8,'BASE '!B6:AH91,33,FALSE)</f>
        <v>512338.89</v>
      </c>
      <c r="M8" s="125">
        <f>VLOOKUP(B8,'MOIS COMP'!A7:AG92,33,FALSE)</f>
        <v>552088.78999999992</v>
      </c>
      <c r="O8" s="91">
        <f>D8-M8</f>
        <v>-39749.899999999907</v>
      </c>
    </row>
    <row r="9" spans="1:15" ht="15.75" thickBot="1" x14ac:dyDescent="0.3">
      <c r="A9" s="89" t="s">
        <v>94</v>
      </c>
      <c r="B9" s="6">
        <v>52</v>
      </c>
      <c r="C9" s="7" t="s">
        <v>89</v>
      </c>
      <c r="D9" s="123">
        <f>VLOOKUP(B9,'BASE '!B8:AH93,33,FALSE)</f>
        <v>447698.68999999994</v>
      </c>
      <c r="M9" s="125">
        <f>VLOOKUP(B9,'MOIS COMP'!A9:AG94,33,FALSE)</f>
        <v>551691.47</v>
      </c>
      <c r="O9" s="111">
        <f>D9-M9</f>
        <v>-103992.78000000003</v>
      </c>
    </row>
    <row r="10" spans="1:15" ht="15.75" thickBot="1" x14ac:dyDescent="0.3">
      <c r="A10" s="89" t="s">
        <v>94</v>
      </c>
      <c r="B10" s="6">
        <v>44</v>
      </c>
      <c r="C10" s="7" t="s">
        <v>13</v>
      </c>
      <c r="D10" s="123">
        <f>VLOOKUP(B10,'BASE '!B10:AH95,33,FALSE)</f>
        <v>424042.30000000005</v>
      </c>
      <c r="M10" s="125">
        <f>VLOOKUP(B10,'MOIS COMP'!A11:AG96,33,FALSE)</f>
        <v>607495.25000000012</v>
      </c>
      <c r="O10" s="111">
        <f>D10-M10</f>
        <v>-183452.95000000007</v>
      </c>
    </row>
    <row r="11" spans="1:15" ht="15.75" thickBot="1" x14ac:dyDescent="0.3">
      <c r="A11" s="89" t="s">
        <v>94</v>
      </c>
      <c r="B11" s="6">
        <v>48</v>
      </c>
      <c r="C11" s="7" t="s">
        <v>92</v>
      </c>
      <c r="D11" s="123">
        <f>VLOOKUP(B11,'BASE '!B5:AH90,33,FALSE)</f>
        <v>468417.49999999994</v>
      </c>
      <c r="M11" s="125">
        <f>VLOOKUP(B11,'MOIS COMP'!A6:AG91,33,FALSE)</f>
        <v>686004.38</v>
      </c>
      <c r="O11" s="111">
        <f>D11-M11</f>
        <v>-217586.88000000006</v>
      </c>
    </row>
    <row r="12" spans="1:15" ht="15.75" thickBot="1" x14ac:dyDescent="0.3">
      <c r="A12" s="89" t="s">
        <v>94</v>
      </c>
      <c r="B12" s="6">
        <v>86</v>
      </c>
      <c r="C12" s="7" t="s">
        <v>19</v>
      </c>
      <c r="D12" s="123">
        <f>VLOOKUP(B12,'BASE '!B9:AH94,33,FALSE)</f>
        <v>583133.1</v>
      </c>
      <c r="M12" s="125">
        <f>VLOOKUP(B12,'MOIS COMP'!A10:AG95,33,FALSE)</f>
        <v>856728.39</v>
      </c>
      <c r="O12" s="111">
        <f>D12-M12</f>
        <v>-273595.29000000004</v>
      </c>
    </row>
    <row r="13" spans="1:15" ht="15.75" thickBot="1" x14ac:dyDescent="0.3">
      <c r="A13" s="112" t="s">
        <v>94</v>
      </c>
      <c r="B13" s="113">
        <v>96</v>
      </c>
      <c r="C13" s="166" t="s">
        <v>6</v>
      </c>
      <c r="D13" s="123">
        <f>VLOOKUP(B13,'BASE '!B2:AH87,33,FALSE)</f>
        <v>1460235.87</v>
      </c>
      <c r="M13" s="125">
        <f>VLOOKUP(B13,'MOIS COMP'!A3:AG87,33,FALSE)</f>
        <v>1734260.08</v>
      </c>
      <c r="O13" s="111">
        <f>D13-M13</f>
        <v>-274024.20999999996</v>
      </c>
    </row>
    <row r="14" spans="1:15" x14ac:dyDescent="0.25">
      <c r="A14" s="89" t="s">
        <v>94</v>
      </c>
      <c r="B14" s="6">
        <v>98</v>
      </c>
      <c r="C14" s="7" t="s">
        <v>12</v>
      </c>
      <c r="D14" s="123">
        <f>VLOOKUP(B14,'BASE '!B3:AH88,33,FALSE)</f>
        <v>494924.01</v>
      </c>
      <c r="E14" s="139"/>
      <c r="F14" s="35"/>
      <c r="G14" s="35"/>
      <c r="H14" s="35"/>
      <c r="I14" s="35"/>
      <c r="J14" s="35"/>
      <c r="K14" s="137"/>
      <c r="M14" s="125">
        <f>VLOOKUP(B14,'MOIS COMP'!A4:AG89,33,FALSE)</f>
        <v>1132811.99</v>
      </c>
      <c r="O14" s="111">
        <f>D14-M14</f>
        <v>-637887.98</v>
      </c>
    </row>
    <row r="15" spans="1:15" ht="15.75" thickBot="1" x14ac:dyDescent="0.3">
      <c r="A15" s="174" t="s">
        <v>125</v>
      </c>
      <c r="B15" s="175"/>
      <c r="C15" s="175"/>
      <c r="D15" s="143">
        <f>SUM(D6:D14)</f>
        <v>6230583.5419999994</v>
      </c>
      <c r="E15" s="135"/>
      <c r="F15" s="128"/>
      <c r="G15" s="128"/>
      <c r="H15" s="128"/>
      <c r="I15" s="128"/>
      <c r="J15" s="128"/>
      <c r="K15" s="138"/>
      <c r="M15" s="153">
        <f>SUM(M6:M14)</f>
        <v>7840848.6409999998</v>
      </c>
      <c r="O15" s="111">
        <f t="shared" ref="O15" si="0">D15-M15</f>
        <v>-1610265.0990000004</v>
      </c>
    </row>
    <row r="16" spans="1:15" ht="15.75" thickBot="1" x14ac:dyDescent="0.3">
      <c r="A16" s="25"/>
      <c r="B16" s="25"/>
      <c r="C16" s="25"/>
      <c r="D16" s="26"/>
    </row>
    <row r="17" spans="1:15" ht="15.75" thickBot="1" x14ac:dyDescent="0.3">
      <c r="A17" s="114" t="s">
        <v>97</v>
      </c>
      <c r="B17" s="115">
        <v>55</v>
      </c>
      <c r="C17" s="116" t="s">
        <v>107</v>
      </c>
      <c r="D17" s="123">
        <f>VLOOKUP(B17,'BASE '!$B$13:$AH$98,33,FALSE)</f>
        <v>2145647.39</v>
      </c>
      <c r="E17" s="141"/>
      <c r="F17" s="117"/>
      <c r="G17" s="117"/>
      <c r="H17" s="117"/>
      <c r="I17" s="117"/>
      <c r="J17" s="117"/>
      <c r="K17" s="144"/>
      <c r="M17" s="151">
        <f>VLOOKUP(B17,'MOIS COMP'!$A$14:$AG$99,33,FALSE)</f>
        <v>1834078.69</v>
      </c>
      <c r="O17" s="126">
        <f>D17-M17</f>
        <v>311568.70000000019</v>
      </c>
    </row>
    <row r="18" spans="1:15" ht="15.75" thickBot="1" x14ac:dyDescent="0.3">
      <c r="A18" s="89" t="s">
        <v>97</v>
      </c>
      <c r="B18" s="6">
        <v>97</v>
      </c>
      <c r="C18" s="7" t="s">
        <v>10</v>
      </c>
      <c r="D18" s="123">
        <f>VLOOKUP(B18,'BASE '!$B$13:$AH$98,33,FALSE)</f>
        <v>1621240.47</v>
      </c>
      <c r="E18" s="139"/>
      <c r="F18" s="35"/>
      <c r="G18" s="35"/>
      <c r="H18" s="35"/>
      <c r="I18" s="35"/>
      <c r="J18" s="35"/>
      <c r="K18" s="137"/>
      <c r="M18" s="151">
        <f>VLOOKUP(B18,'MOIS COMP'!$A$14:$AG$99,33,FALSE)</f>
        <v>1486617.5999999999</v>
      </c>
      <c r="O18" s="109">
        <f>D18-M18</f>
        <v>134622.87000000011</v>
      </c>
    </row>
    <row r="19" spans="1:15" ht="15.75" thickBot="1" x14ac:dyDescent="0.3">
      <c r="A19" s="89" t="s">
        <v>97</v>
      </c>
      <c r="B19" s="6">
        <v>93</v>
      </c>
      <c r="C19" s="7" t="s">
        <v>17</v>
      </c>
      <c r="D19" s="123">
        <f>VLOOKUP(B19,'BASE '!$B$13:$AH$98,33,FALSE)</f>
        <v>518901.79000000004</v>
      </c>
      <c r="E19" s="139"/>
      <c r="F19" s="35"/>
      <c r="G19" s="35"/>
      <c r="H19" s="35"/>
      <c r="I19" s="35"/>
      <c r="J19" s="35"/>
      <c r="K19" s="137"/>
      <c r="M19" s="151">
        <f>VLOOKUP(B19,'MOIS COMP'!$A$14:$AG$99,33,FALSE)</f>
        <v>787606.76000000013</v>
      </c>
      <c r="O19" s="111">
        <f>D19-M19</f>
        <v>-268704.97000000009</v>
      </c>
    </row>
    <row r="20" spans="1:15" ht="15.75" thickBot="1" x14ac:dyDescent="0.3">
      <c r="A20" s="89" t="s">
        <v>97</v>
      </c>
      <c r="B20" s="6">
        <v>43</v>
      </c>
      <c r="C20" s="7" t="s">
        <v>7</v>
      </c>
      <c r="D20" s="123">
        <f>VLOOKUP(B20,'BASE '!$B$13:$AH$98,33,FALSE)</f>
        <v>1397501.7</v>
      </c>
      <c r="E20" s="139"/>
      <c r="F20" s="35"/>
      <c r="G20" s="35"/>
      <c r="H20" s="35"/>
      <c r="I20" s="35"/>
      <c r="J20" s="35"/>
      <c r="K20" s="137"/>
      <c r="M20" s="151">
        <f>VLOOKUP(B20,'MOIS COMP'!$A$14:$AG$99,33,FALSE)</f>
        <v>1696097.78</v>
      </c>
      <c r="O20" s="111">
        <f>D20-M20</f>
        <v>-298596.08000000007</v>
      </c>
    </row>
    <row r="21" spans="1:15" ht="15.75" thickBot="1" x14ac:dyDescent="0.3">
      <c r="A21" s="89" t="s">
        <v>97</v>
      </c>
      <c r="B21" s="6">
        <v>91</v>
      </c>
      <c r="C21" s="7" t="s">
        <v>18</v>
      </c>
      <c r="D21" s="123">
        <f>VLOOKUP(B21,'BASE '!$B$13:$AH$98,33,FALSE)</f>
        <v>2474469.5700000003</v>
      </c>
      <c r="E21" s="139"/>
      <c r="F21" s="35"/>
      <c r="G21" s="35"/>
      <c r="H21" s="35"/>
      <c r="I21" s="35"/>
      <c r="J21" s="35"/>
      <c r="K21" s="137"/>
      <c r="M21" s="151">
        <f>VLOOKUP(B21,'MOIS COMP'!$A$14:$AG$99,33,FALSE)</f>
        <v>3394633.7600000002</v>
      </c>
      <c r="O21" s="111">
        <f>D21-M21</f>
        <v>-920164.19</v>
      </c>
    </row>
    <row r="22" spans="1:15" x14ac:dyDescent="0.25">
      <c r="A22" s="89" t="s">
        <v>97</v>
      </c>
      <c r="B22" s="6">
        <v>92</v>
      </c>
      <c r="C22" s="7" t="s">
        <v>14</v>
      </c>
      <c r="D22" s="123">
        <f>VLOOKUP(B22,'BASE '!$B$13:$AH$98,33,FALSE)</f>
        <v>914023.89</v>
      </c>
      <c r="E22" s="139"/>
      <c r="F22" s="35"/>
      <c r="G22" s="35"/>
      <c r="H22" s="35"/>
      <c r="I22" s="35"/>
      <c r="J22" s="35"/>
      <c r="K22" s="137"/>
      <c r="M22" s="151">
        <f>VLOOKUP(B22,'MOIS COMP'!$A$14:$AG$99,33,FALSE)</f>
        <v>1895276.48</v>
      </c>
      <c r="O22" s="111">
        <f>D22-M22</f>
        <v>-981252.59</v>
      </c>
    </row>
    <row r="23" spans="1:15" ht="15.75" thickBot="1" x14ac:dyDescent="0.3">
      <c r="A23" s="178" t="s">
        <v>126</v>
      </c>
      <c r="B23" s="179"/>
      <c r="C23" s="180"/>
      <c r="D23" s="143">
        <f>SUM(D17:D22)</f>
        <v>9071784.8100000005</v>
      </c>
      <c r="E23" s="142">
        <f t="shared" ref="E23:O23" si="1">SUM(E17:E22)</f>
        <v>0</v>
      </c>
      <c r="F23" s="118">
        <f t="shared" si="1"/>
        <v>0</v>
      </c>
      <c r="G23" s="118">
        <f t="shared" si="1"/>
        <v>0</v>
      </c>
      <c r="H23" s="118">
        <f t="shared" si="1"/>
        <v>0</v>
      </c>
      <c r="I23" s="118">
        <f t="shared" si="1"/>
        <v>0</v>
      </c>
      <c r="J23" s="118">
        <f t="shared" si="1"/>
        <v>0</v>
      </c>
      <c r="K23" s="145">
        <f t="shared" si="1"/>
        <v>0</v>
      </c>
      <c r="L23" s="26"/>
      <c r="M23" s="155">
        <f>SUM(M17:M22)</f>
        <v>11094311.07</v>
      </c>
      <c r="N23" s="26"/>
      <c r="O23" s="156">
        <f t="shared" si="1"/>
        <v>-2022526.2599999998</v>
      </c>
    </row>
    <row r="24" spans="1:15" ht="15.75" thickBot="1" x14ac:dyDescent="0.3">
      <c r="A24" s="25"/>
      <c r="B24" s="25"/>
      <c r="C24" s="25"/>
      <c r="D24" s="26"/>
    </row>
    <row r="25" spans="1:15" ht="15.75" thickBot="1" x14ac:dyDescent="0.3">
      <c r="A25" s="114" t="s">
        <v>96</v>
      </c>
      <c r="B25" s="115">
        <v>51</v>
      </c>
      <c r="C25" s="116" t="s">
        <v>87</v>
      </c>
      <c r="D25" s="123">
        <f>VLOOKUP(B25,'BASE '!$B$21:$AH$106,33,FALSE)</f>
        <v>268593.58999999997</v>
      </c>
      <c r="E25" s="157"/>
      <c r="F25" s="157"/>
      <c r="G25" s="157"/>
      <c r="H25" s="157"/>
      <c r="I25" s="157"/>
      <c r="J25" s="157"/>
      <c r="K25" s="144"/>
      <c r="M25" s="125">
        <f>VLOOKUP(B25,'MOIS COMP'!$A$14:$AG$99,33,FALSE)</f>
        <v>147393.19</v>
      </c>
      <c r="O25" s="126">
        <f>D25-M25</f>
        <v>121200.39999999997</v>
      </c>
    </row>
    <row r="26" spans="1:15" ht="15.75" thickBot="1" x14ac:dyDescent="0.3">
      <c r="A26" s="89" t="s">
        <v>96</v>
      </c>
      <c r="B26" s="6">
        <v>95</v>
      </c>
      <c r="C26" s="7" t="s">
        <v>11</v>
      </c>
      <c r="D26" s="123">
        <f>VLOOKUP(B26,'BASE '!$B$21:$AH$106,33,FALSE)</f>
        <v>982564.6</v>
      </c>
      <c r="M26" s="125">
        <f>VLOOKUP(B26,'MOIS COMP'!$A$14:$AG$99,33,FALSE)</f>
        <v>911394.2799999998</v>
      </c>
      <c r="O26" s="110">
        <f>D26-M26</f>
        <v>71170.320000000182</v>
      </c>
    </row>
    <row r="27" spans="1:15" ht="15.75" thickBot="1" x14ac:dyDescent="0.3">
      <c r="A27" s="89" t="s">
        <v>96</v>
      </c>
      <c r="B27" s="6">
        <v>89</v>
      </c>
      <c r="C27" s="34" t="s">
        <v>5</v>
      </c>
      <c r="D27" s="123">
        <f>VLOOKUP(B27,'BASE '!$B$21:$AH$106,33,FALSE)</f>
        <v>740798.56099999999</v>
      </c>
      <c r="M27" s="125">
        <f>VLOOKUP(B27,'MOIS COMP'!$A$14:$AG$99,33,FALSE)</f>
        <v>734589.98</v>
      </c>
      <c r="O27" s="110">
        <f>D27-M27</f>
        <v>6208.5810000000056</v>
      </c>
    </row>
    <row r="28" spans="1:15" ht="15.75" thickBot="1" x14ac:dyDescent="0.3">
      <c r="A28" s="89" t="s">
        <v>96</v>
      </c>
      <c r="B28" s="53">
        <v>53</v>
      </c>
      <c r="C28" s="61" t="s">
        <v>88</v>
      </c>
      <c r="D28" s="123">
        <f>VLOOKUP(B28,'BASE '!$B$21:$AH$106,33,FALSE)</f>
        <v>523973.89</v>
      </c>
      <c r="M28" s="125">
        <f>VLOOKUP(B28,'MOIS COMP'!$A$14:$AG$99,33,FALSE)</f>
        <v>541735.96</v>
      </c>
      <c r="O28" s="91">
        <f>D28-M28</f>
        <v>-17762.069999999949</v>
      </c>
    </row>
    <row r="29" spans="1:15" ht="15.75" thickBot="1" x14ac:dyDescent="0.3">
      <c r="A29" s="89" t="s">
        <v>96</v>
      </c>
      <c r="B29" s="6">
        <v>49</v>
      </c>
      <c r="C29" s="7" t="s">
        <v>85</v>
      </c>
      <c r="D29" s="123">
        <f>VLOOKUP(B29,'BASE '!$B$21:$AH$106,33,FALSE)</f>
        <v>419997.1</v>
      </c>
      <c r="M29" s="125">
        <f>VLOOKUP(B29,'MOIS COMP'!$A$14:$AG$99,33,FALSE)</f>
        <v>510471.85</v>
      </c>
      <c r="O29" s="91">
        <f>D29-M29</f>
        <v>-90474.75</v>
      </c>
    </row>
    <row r="30" spans="1:15" ht="15.75" thickBot="1" x14ac:dyDescent="0.3">
      <c r="A30" s="89" t="s">
        <v>96</v>
      </c>
      <c r="B30" s="6">
        <v>42</v>
      </c>
      <c r="C30" s="7" t="s">
        <v>84</v>
      </c>
      <c r="D30" s="123">
        <f>VLOOKUP(B30,'BASE '!$B$21:$AH$106,33,FALSE)</f>
        <v>536080.39999999991</v>
      </c>
      <c r="M30" s="125">
        <f>VLOOKUP(B30,'MOIS COMP'!$A$14:$AG$99,33,FALSE)</f>
        <v>628248.99</v>
      </c>
      <c r="O30" s="91">
        <f>D30-M30</f>
        <v>-92168.590000000084</v>
      </c>
    </row>
    <row r="31" spans="1:15" ht="15.75" thickBot="1" x14ac:dyDescent="0.3">
      <c r="A31" s="89" t="s">
        <v>96</v>
      </c>
      <c r="B31" s="6">
        <v>50</v>
      </c>
      <c r="C31" s="7" t="s">
        <v>86</v>
      </c>
      <c r="D31" s="123">
        <f>VLOOKUP(B31,'BASE '!$B$21:$AH$106,33,FALSE)</f>
        <v>272436.08999999997</v>
      </c>
      <c r="M31" s="125">
        <f>VLOOKUP(B31,'MOIS COMP'!$A$14:$AG$99,33,FALSE)</f>
        <v>422490.68999999994</v>
      </c>
      <c r="O31" s="111">
        <f>D31-M31</f>
        <v>-150054.59999999998</v>
      </c>
    </row>
    <row r="32" spans="1:15" ht="15.75" thickBot="1" x14ac:dyDescent="0.3">
      <c r="A32" s="89" t="s">
        <v>96</v>
      </c>
      <c r="B32" s="6">
        <v>46</v>
      </c>
      <c r="C32" s="7" t="s">
        <v>16</v>
      </c>
      <c r="D32" s="123">
        <f>VLOOKUP(B32,'BASE '!$B$21:$AH$106,33,FALSE)</f>
        <v>335529.79000000004</v>
      </c>
      <c r="M32" s="125">
        <f>VLOOKUP(B32,'MOIS COMP'!$A$14:$AG$99,33,FALSE)</f>
        <v>516466.85</v>
      </c>
      <c r="O32" s="111">
        <f>D32-M32</f>
        <v>-180937.05999999994</v>
      </c>
    </row>
    <row r="33" spans="1:15" ht="15.75" thickBot="1" x14ac:dyDescent="0.3">
      <c r="A33" s="89" t="s">
        <v>96</v>
      </c>
      <c r="B33" s="6">
        <v>90</v>
      </c>
      <c r="C33" s="7" t="s">
        <v>9</v>
      </c>
      <c r="D33" s="123">
        <f>VLOOKUP(B33,'BASE '!$B$21:$AH$106,33,FALSE)</f>
        <v>610061.38</v>
      </c>
      <c r="M33" s="125">
        <f>VLOOKUP(B33,'MOIS COMP'!$A$14:$AG$99,33,FALSE)</f>
        <v>882597.49000000011</v>
      </c>
      <c r="O33" s="111">
        <f>D33-M33</f>
        <v>-272536.1100000001</v>
      </c>
    </row>
    <row r="34" spans="1:15" ht="15.75" thickBot="1" x14ac:dyDescent="0.3">
      <c r="A34" s="35" t="s">
        <v>96</v>
      </c>
      <c r="B34" s="6">
        <v>45</v>
      </c>
      <c r="C34" s="7" t="s">
        <v>93</v>
      </c>
      <c r="D34" s="123">
        <f>VLOOKUP(B34,'BASE '!$B$21:$AH$106,33,FALSE)</f>
        <v>430622.99</v>
      </c>
      <c r="M34" s="125">
        <f>VLOOKUP(B34,'MOIS COMP'!$A$14:$AG$99,33,FALSE)</f>
        <v>709856.10000000009</v>
      </c>
      <c r="O34" s="111">
        <f>D34-M34</f>
        <v>-279233.1100000001</v>
      </c>
    </row>
    <row r="35" spans="1:15" x14ac:dyDescent="0.25">
      <c r="A35" s="35" t="s">
        <v>96</v>
      </c>
      <c r="B35" s="6">
        <v>94</v>
      </c>
      <c r="C35" s="7" t="s">
        <v>15</v>
      </c>
      <c r="D35" s="123">
        <f>VLOOKUP(B35,'BASE '!$B$21:$AH$106,33,FALSE)</f>
        <v>556738.18999999994</v>
      </c>
      <c r="E35" s="26" t="e">
        <f>VLOOKUP(C35,[1]Feuil5!$B$4:$V$88,21,FALSE)</f>
        <v>#N/A</v>
      </c>
      <c r="F35" s="26" t="e">
        <f>VLOOKUP(D35,[1]Feuil5!$B$4:$V$88,21,FALSE)</f>
        <v>#N/A</v>
      </c>
      <c r="G35" s="26" t="e">
        <f>VLOOKUP(E35,[1]Feuil5!$B$4:$V$88,21,FALSE)</f>
        <v>#N/A</v>
      </c>
      <c r="H35" s="26" t="e">
        <f>VLOOKUP(F35,[1]Feuil5!$B$4:$V$88,21,FALSE)</f>
        <v>#N/A</v>
      </c>
      <c r="I35" s="26" t="e">
        <f>VLOOKUP(G35,[1]Feuil5!$B$4:$V$88,21,FALSE)</f>
        <v>#N/A</v>
      </c>
      <c r="J35" s="26" t="e">
        <f>VLOOKUP(H35,[1]Feuil5!$B$4:$V$88,21,FALSE)</f>
        <v>#N/A</v>
      </c>
      <c r="K35" s="26" t="e">
        <f>VLOOKUP(I35,[1]Feuil5!$B$4:$V$88,21,FALSE)</f>
        <v>#N/A</v>
      </c>
      <c r="M35" s="125">
        <f>VLOOKUP(B35,'MOIS COMP'!$A$14:$AG$99,33,FALSE)</f>
        <v>902480.7899999998</v>
      </c>
      <c r="O35" s="111">
        <f>D35-M35</f>
        <v>-345742.59999999986</v>
      </c>
    </row>
    <row r="36" spans="1:15" ht="15.75" thickBot="1" x14ac:dyDescent="0.3">
      <c r="A36" s="181" t="s">
        <v>149</v>
      </c>
      <c r="B36" s="182"/>
      <c r="C36" s="183"/>
      <c r="D36" s="143">
        <f>SUM(D25:D35)</f>
        <v>5677396.5810000002</v>
      </c>
      <c r="E36" s="118" t="e">
        <f t="shared" ref="E36:O36" si="2">SUM(E25:E35)</f>
        <v>#N/A</v>
      </c>
      <c r="F36" s="118" t="e">
        <f t="shared" si="2"/>
        <v>#N/A</v>
      </c>
      <c r="G36" s="118" t="e">
        <f t="shared" si="2"/>
        <v>#N/A</v>
      </c>
      <c r="H36" s="118" t="e">
        <f t="shared" si="2"/>
        <v>#N/A</v>
      </c>
      <c r="I36" s="118" t="e">
        <f t="shared" si="2"/>
        <v>#N/A</v>
      </c>
      <c r="J36" s="118" t="e">
        <f t="shared" si="2"/>
        <v>#N/A</v>
      </c>
      <c r="K36" s="145" t="e">
        <f t="shared" si="2"/>
        <v>#N/A</v>
      </c>
      <c r="M36" s="153">
        <f>SUM(M25:M35)</f>
        <v>6907726.1700000009</v>
      </c>
      <c r="O36" s="156">
        <f t="shared" si="2"/>
        <v>-1230329.5889999999</v>
      </c>
    </row>
    <row r="37" spans="1:15" ht="15.75" thickBot="1" x14ac:dyDescent="0.3">
      <c r="A37" s="25"/>
      <c r="B37" s="25"/>
      <c r="C37" s="25"/>
      <c r="D37" s="26"/>
    </row>
    <row r="38" spans="1:15" ht="15.75" thickBot="1" x14ac:dyDescent="0.3">
      <c r="A38" s="129" t="s">
        <v>144</v>
      </c>
      <c r="B38" s="130"/>
      <c r="C38" s="130"/>
      <c r="D38" s="131">
        <f>D15+D23+D36</f>
        <v>20979764.932999998</v>
      </c>
      <c r="E38" s="131" t="e">
        <f t="shared" ref="E38:M38" si="3">E15+E23+E36</f>
        <v>#N/A</v>
      </c>
      <c r="F38" s="131" t="e">
        <f t="shared" si="3"/>
        <v>#N/A</v>
      </c>
      <c r="G38" s="131" t="e">
        <f t="shared" si="3"/>
        <v>#N/A</v>
      </c>
      <c r="H38" s="131" t="e">
        <f t="shared" si="3"/>
        <v>#N/A</v>
      </c>
      <c r="I38" s="131" t="e">
        <f t="shared" si="3"/>
        <v>#N/A</v>
      </c>
      <c r="J38" s="131" t="e">
        <f t="shared" si="3"/>
        <v>#N/A</v>
      </c>
      <c r="K38" s="146" t="e">
        <f t="shared" si="3"/>
        <v>#N/A</v>
      </c>
      <c r="M38" s="148">
        <f t="shared" si="3"/>
        <v>25842885.881000001</v>
      </c>
      <c r="O38" s="132">
        <f>D38-M38</f>
        <v>-4863120.9480000027</v>
      </c>
    </row>
    <row r="39" spans="1:15" x14ac:dyDescent="0.25">
      <c r="D39" s="26"/>
      <c r="O39" s="26"/>
    </row>
    <row r="40" spans="1:15" ht="15.75" thickBot="1" x14ac:dyDescent="0.3">
      <c r="D40" s="26"/>
      <c r="O40" s="26"/>
    </row>
    <row r="41" spans="1:15" ht="36.75" customHeight="1" thickBot="1" x14ac:dyDescent="0.3">
      <c r="A41" s="83" t="s">
        <v>145</v>
      </c>
      <c r="B41" s="84" t="s">
        <v>2</v>
      </c>
      <c r="C41" s="85" t="s">
        <v>3</v>
      </c>
      <c r="D41" s="86" t="str">
        <f>D5</f>
        <v>ENCAISSEMENTS AU 12/04/2026</v>
      </c>
      <c r="M41" s="122" t="str">
        <f>'MOIS COMP'!I92</f>
        <v>ENCAISSEMENTS AU 12/12/2025</v>
      </c>
      <c r="O41" s="88" t="s">
        <v>143</v>
      </c>
    </row>
    <row r="42" spans="1:15" ht="16.5" thickBot="1" x14ac:dyDescent="0.3">
      <c r="A42" s="89" t="s">
        <v>99</v>
      </c>
      <c r="B42" s="16">
        <v>60</v>
      </c>
      <c r="C42" s="17" t="s">
        <v>23</v>
      </c>
      <c r="D42" s="90">
        <f>VLOOKUP(B42,'BASE '!B4:AH89,33,FALSE)</f>
        <v>895118.23</v>
      </c>
      <c r="E42" s="158"/>
      <c r="F42" s="158"/>
      <c r="G42" s="158"/>
      <c r="H42" s="158"/>
      <c r="I42" s="158"/>
      <c r="J42" s="158"/>
      <c r="K42" s="158"/>
      <c r="M42" s="125">
        <f>VLOOKUP(B42,'MOIS COMP'!A5:AG90,33,FALSE)</f>
        <v>803606.75999999989</v>
      </c>
      <c r="O42" s="110">
        <f>D42-M42</f>
        <v>91511.470000000088</v>
      </c>
    </row>
    <row r="43" spans="1:15" ht="16.5" thickBot="1" x14ac:dyDescent="0.3">
      <c r="A43" s="89" t="s">
        <v>99</v>
      </c>
      <c r="B43" s="16">
        <v>40</v>
      </c>
      <c r="C43" s="17" t="s">
        <v>22</v>
      </c>
      <c r="D43" s="90">
        <f>VLOOKUP(B43,'BASE '!B3:AH88,33,FALSE)</f>
        <v>572432.8600000001</v>
      </c>
      <c r="E43" s="158"/>
      <c r="F43" s="158"/>
      <c r="G43" s="158"/>
      <c r="H43" s="158"/>
      <c r="I43" s="158"/>
      <c r="J43" s="158"/>
      <c r="K43" s="158"/>
      <c r="M43" s="125">
        <f>VLOOKUP(B43,'MOIS COMP'!A4:AG89,33,FALSE)</f>
        <v>566910.6</v>
      </c>
      <c r="O43" s="110">
        <f>D43-M43</f>
        <v>5522.2600000001257</v>
      </c>
    </row>
    <row r="44" spans="1:15" ht="16.5" thickBot="1" x14ac:dyDescent="0.3">
      <c r="A44" s="89" t="s">
        <v>99</v>
      </c>
      <c r="B44" s="16">
        <v>15</v>
      </c>
      <c r="C44" s="17" t="s">
        <v>25</v>
      </c>
      <c r="D44" s="90">
        <f>VLOOKUP(B44,'BASE '!B2:AH87,33,FALSE)</f>
        <v>7309</v>
      </c>
      <c r="E44" s="26" t="e">
        <f>VLOOKUP(C44,'BASE '!C2:AI87,33,FALSE)</f>
        <v>#N/A</v>
      </c>
      <c r="F44" s="26" t="e">
        <f>VLOOKUP(D44,'BASE '!D2:AJ87,33,FALSE)</f>
        <v>#N/A</v>
      </c>
      <c r="G44" s="26" t="e">
        <f>VLOOKUP(E44,'BASE '!E2:AK87,33,FALSE)</f>
        <v>#N/A</v>
      </c>
      <c r="H44" s="26" t="e">
        <f>VLOOKUP(F44,'BASE '!F2:AL87,33,FALSE)</f>
        <v>#N/A</v>
      </c>
      <c r="I44" s="26" t="e">
        <f>VLOOKUP(G44,'BASE '!G2:AM87,33,FALSE)</f>
        <v>#N/A</v>
      </c>
      <c r="J44" s="26" t="e">
        <f>VLOOKUP(H44,'BASE '!H2:AN87,33,FALSE)</f>
        <v>#N/A</v>
      </c>
      <c r="K44" s="26" t="e">
        <f>VLOOKUP(I44,'BASE '!I2:AO87,33,FALSE)</f>
        <v>#N/A</v>
      </c>
      <c r="M44" s="125">
        <f>VLOOKUP(B44,'MOIS COMP'!A3:AG87,33,FALSE)</f>
        <v>40507.4</v>
      </c>
      <c r="O44" s="91">
        <f>D44-M44</f>
        <v>-33198.400000000001</v>
      </c>
    </row>
    <row r="45" spans="1:15" ht="15.75" x14ac:dyDescent="0.25">
      <c r="A45" s="89" t="s">
        <v>99</v>
      </c>
      <c r="B45" s="16">
        <v>80</v>
      </c>
      <c r="C45" s="17" t="s">
        <v>24</v>
      </c>
      <c r="D45" s="90">
        <f>VLOOKUP(B45,'BASE '!B38:AH123,33,FALSE)</f>
        <v>920851.79</v>
      </c>
      <c r="E45" s="26" t="e">
        <f>VLOOKUP(C45,'BASE '!$B$38:$AH$123,33,FALSE)</f>
        <v>#N/A</v>
      </c>
      <c r="F45" s="26" t="e">
        <f>VLOOKUP(D45,'BASE '!$B$38:$AH$123,33,FALSE)</f>
        <v>#N/A</v>
      </c>
      <c r="G45" s="26" t="e">
        <f>VLOOKUP(E45,'BASE '!$B$38:$AH$123,33,FALSE)</f>
        <v>#N/A</v>
      </c>
      <c r="H45" s="26" t="e">
        <f>VLOOKUP(F45,'BASE '!$B$38:$AH$123,33,FALSE)</f>
        <v>#N/A</v>
      </c>
      <c r="I45" s="26" t="e">
        <f>VLOOKUP(G45,'BASE '!$B$38:$AH$123,33,FALSE)</f>
        <v>#N/A</v>
      </c>
      <c r="J45" s="26" t="e">
        <f>VLOOKUP(H45,'BASE '!$B$38:$AH$123,33,FALSE)</f>
        <v>#N/A</v>
      </c>
      <c r="K45" s="26" t="e">
        <f>VLOOKUP(I45,'BASE '!$B$38:$AH$123,33,FALSE)</f>
        <v>#N/A</v>
      </c>
      <c r="M45" s="125">
        <f>VLOOKUP(B45,'MOIS COMP'!$A$14:$AG$99,33,FALSE)</f>
        <v>1239212.4600000002</v>
      </c>
      <c r="O45" s="111">
        <f>D45-M45</f>
        <v>-318360.67000000016</v>
      </c>
    </row>
    <row r="46" spans="1:15" ht="16.5" thickBot="1" x14ac:dyDescent="0.3">
      <c r="A46" s="176" t="s">
        <v>128</v>
      </c>
      <c r="B46" s="177"/>
      <c r="C46" s="177"/>
      <c r="D46" s="92">
        <f>SUM(D42:D45)</f>
        <v>2395711.88</v>
      </c>
      <c r="M46" s="154">
        <f>SUM(M42:M45)</f>
        <v>2650237.2199999997</v>
      </c>
      <c r="O46" s="156">
        <f>D46-M46</f>
        <v>-254525.33999999985</v>
      </c>
    </row>
    <row r="47" spans="1:15" x14ac:dyDescent="0.25">
      <c r="D47" s="26"/>
      <c r="O47" s="26"/>
    </row>
    <row r="48" spans="1:15" x14ac:dyDescent="0.25">
      <c r="D48" s="26"/>
      <c r="O48" s="26"/>
    </row>
    <row r="49" spans="1:15" ht="15.75" thickBot="1" x14ac:dyDescent="0.3">
      <c r="D49" s="26"/>
      <c r="O49" s="26"/>
    </row>
    <row r="50" spans="1:15" ht="30.75" thickBot="1" x14ac:dyDescent="0.3">
      <c r="A50" s="83" t="s">
        <v>146</v>
      </c>
      <c r="B50" s="84" t="s">
        <v>2</v>
      </c>
      <c r="C50" s="85" t="s">
        <v>3</v>
      </c>
      <c r="D50" s="87" t="str">
        <f>D5</f>
        <v>ENCAISSEMENTS AU 12/04/2026</v>
      </c>
      <c r="M50" s="122" t="str">
        <f>'MOIS COMP'!I92</f>
        <v>ENCAISSEMENTS AU 12/12/2025</v>
      </c>
      <c r="O50" s="88" t="s">
        <v>143</v>
      </c>
    </row>
    <row r="51" spans="1:15" ht="16.5" thickBot="1" x14ac:dyDescent="0.3">
      <c r="A51" s="89" t="s">
        <v>118</v>
      </c>
      <c r="B51" s="16">
        <v>73</v>
      </c>
      <c r="C51" s="49" t="s">
        <v>110</v>
      </c>
      <c r="D51" s="90">
        <f>VLOOKUP(B51,'BASE '!$B$2:$AH$87,33,FALSE)</f>
        <v>281223.59999999998</v>
      </c>
      <c r="M51" s="125">
        <f>VLOOKUP(B51,'MOIS COMP'!A3:AG87,33,FALSE)</f>
        <v>269907.20000000001</v>
      </c>
      <c r="O51" s="110">
        <f>D51-M51</f>
        <v>11316.399999999965</v>
      </c>
    </row>
    <row r="52" spans="1:15" ht="16.5" thickBot="1" x14ac:dyDescent="0.3">
      <c r="A52" s="89" t="s">
        <v>118</v>
      </c>
      <c r="B52" s="16">
        <v>31</v>
      </c>
      <c r="C52" s="49" t="s">
        <v>51</v>
      </c>
      <c r="D52" s="90">
        <f>VLOOKUP(B52,'BASE '!$B$2:$AH$87,33,FALSE)</f>
        <v>3513</v>
      </c>
      <c r="M52" s="125">
        <f>VLOOKUP(B52,'MOIS COMP'!A8:AG93,33,FALSE)</f>
        <v>3866.8</v>
      </c>
      <c r="O52" s="91">
        <f>D52-M52</f>
        <v>-353.80000000000018</v>
      </c>
    </row>
    <row r="53" spans="1:15" ht="16.5" thickBot="1" x14ac:dyDescent="0.3">
      <c r="A53" s="89" t="s">
        <v>118</v>
      </c>
      <c r="B53" s="16">
        <v>20</v>
      </c>
      <c r="C53" s="49" t="s">
        <v>35</v>
      </c>
      <c r="D53" s="90">
        <f>VLOOKUP(B53,'BASE '!$B$2:$AH$87,33,FALSE)</f>
        <v>608.20000000000005</v>
      </c>
      <c r="M53" s="125">
        <f>VLOOKUP(B53,'MOIS COMP'!A4:AG89,33,FALSE)</f>
        <v>1781.6</v>
      </c>
      <c r="O53" s="91">
        <f>D53-M53</f>
        <v>-1173.3999999999999</v>
      </c>
    </row>
    <row r="54" spans="1:15" ht="16.5" thickBot="1" x14ac:dyDescent="0.3">
      <c r="A54" s="89" t="s">
        <v>118</v>
      </c>
      <c r="B54" s="16">
        <v>19</v>
      </c>
      <c r="C54" s="49" t="s">
        <v>36</v>
      </c>
      <c r="D54" s="90">
        <f>VLOOKUP(B54,'BASE '!$B$2:$AH$87,33,FALSE)</f>
        <v>5526</v>
      </c>
      <c r="M54" s="125">
        <f>VLOOKUP(B54,'MOIS COMP'!A5:AG90,33,FALSE)</f>
        <v>9593</v>
      </c>
      <c r="O54" s="91">
        <f>D54-M54</f>
        <v>-4067</v>
      </c>
    </row>
    <row r="55" spans="1:15" ht="16.5" thickBot="1" x14ac:dyDescent="0.3">
      <c r="A55" s="89" t="s">
        <v>118</v>
      </c>
      <c r="B55" s="16">
        <v>30</v>
      </c>
      <c r="C55" s="49" t="s">
        <v>46</v>
      </c>
      <c r="D55" s="90">
        <f>VLOOKUP(B55,'BASE '!$B$2:$AH$87,33,FALSE)</f>
        <v>1981</v>
      </c>
      <c r="M55" s="125">
        <f>VLOOKUP(B55,'MOIS COMP'!A7:AG92,33,FALSE)</f>
        <v>8911.5</v>
      </c>
      <c r="O55" s="91">
        <f>D55-M55</f>
        <v>-6930.5</v>
      </c>
    </row>
    <row r="56" spans="1:15" ht="16.5" thickBot="1" x14ac:dyDescent="0.3">
      <c r="A56" s="89" t="s">
        <v>118</v>
      </c>
      <c r="B56" s="16">
        <v>74</v>
      </c>
      <c r="C56" s="49" t="s">
        <v>61</v>
      </c>
      <c r="D56" s="90">
        <f>VLOOKUP(B56,'BASE '!$B$2:$AH$87,33,FALSE)</f>
        <v>61337.7</v>
      </c>
      <c r="M56" s="125">
        <f>VLOOKUP(B56,'MOIS COMP'!A11:AG96,33,FALSE)</f>
        <v>90372</v>
      </c>
      <c r="O56" s="91">
        <f>D56-M56</f>
        <v>-29034.300000000003</v>
      </c>
    </row>
    <row r="57" spans="1:15" ht="16.5" thickBot="1" x14ac:dyDescent="0.3">
      <c r="A57" s="89" t="s">
        <v>118</v>
      </c>
      <c r="B57" s="16">
        <v>78</v>
      </c>
      <c r="C57" s="49" t="s">
        <v>33</v>
      </c>
      <c r="D57" s="90">
        <f>VLOOKUP(B57,'BASE '!$B$2:$AH$87,33,FALSE)</f>
        <v>76844.97</v>
      </c>
      <c r="M57" s="125">
        <f>VLOOKUP(B57,'MOIS COMP'!A9:AG94,33,FALSE)</f>
        <v>132040.95999999999</v>
      </c>
      <c r="O57" s="91">
        <f>D57-M57</f>
        <v>-55195.989999999991</v>
      </c>
    </row>
    <row r="58" spans="1:15" ht="16.5" thickBot="1" x14ac:dyDescent="0.3">
      <c r="A58" s="89" t="s">
        <v>118</v>
      </c>
      <c r="B58" s="16">
        <v>39</v>
      </c>
      <c r="C58" s="49" t="s">
        <v>109</v>
      </c>
      <c r="D58" s="90">
        <f>VLOOKUP(B58,'BASE '!$B$2:$AH$87,33,FALSE)</f>
        <v>262281.80000000005</v>
      </c>
      <c r="M58" s="125">
        <f>VLOOKUP(B58,'MOIS COMP'!A10:AG95,33,FALSE)</f>
        <v>328703.38999999996</v>
      </c>
      <c r="O58" s="91">
        <f>D58-M58</f>
        <v>-66421.589999999909</v>
      </c>
    </row>
    <row r="59" spans="1:15" ht="15.75" x14ac:dyDescent="0.25">
      <c r="A59" s="89" t="s">
        <v>118</v>
      </c>
      <c r="B59" s="16">
        <v>82</v>
      </c>
      <c r="C59" s="49" t="s">
        <v>57</v>
      </c>
      <c r="D59" s="90">
        <f>VLOOKUP(B59,'BASE '!$B$2:$AH$87,33,FALSE)</f>
        <v>28512.499999999996</v>
      </c>
      <c r="M59" s="125">
        <f>VLOOKUP(B59,'MOIS COMP'!A6:AG91,33,FALSE)</f>
        <v>96159.2</v>
      </c>
      <c r="O59" s="91">
        <f>D59-M59</f>
        <v>-67646.7</v>
      </c>
    </row>
    <row r="60" spans="1:15" ht="15.75" thickBot="1" x14ac:dyDescent="0.3">
      <c r="A60" s="174" t="s">
        <v>132</v>
      </c>
      <c r="B60" s="175"/>
      <c r="C60" s="175"/>
      <c r="D60" s="143">
        <f>SUM(D51:D59)</f>
        <v>721828.77</v>
      </c>
      <c r="E60" s="136">
        <f t="shared" ref="E60:M60" si="4">SUM(E51:E59)</f>
        <v>0</v>
      </c>
      <c r="F60" s="127">
        <f t="shared" si="4"/>
        <v>0</v>
      </c>
      <c r="G60" s="127">
        <f t="shared" si="4"/>
        <v>0</v>
      </c>
      <c r="H60" s="127">
        <f t="shared" si="4"/>
        <v>0</v>
      </c>
      <c r="I60" s="127">
        <f t="shared" si="4"/>
        <v>0</v>
      </c>
      <c r="J60" s="127">
        <f t="shared" si="4"/>
        <v>0</v>
      </c>
      <c r="K60" s="145">
        <f t="shared" si="4"/>
        <v>0</v>
      </c>
      <c r="M60" s="153">
        <f t="shared" si="4"/>
        <v>941335.64999999991</v>
      </c>
      <c r="O60" s="156">
        <f t="shared" ref="O60" si="5">D60-M60</f>
        <v>-219506.87999999989</v>
      </c>
    </row>
    <row r="61" spans="1:15" ht="15.75" thickBot="1" x14ac:dyDescent="0.3">
      <c r="A61" s="25"/>
      <c r="B61" s="25"/>
      <c r="C61" s="25"/>
      <c r="D61" s="26"/>
    </row>
    <row r="62" spans="1:15" ht="16.5" thickBot="1" x14ac:dyDescent="0.3">
      <c r="A62" s="114" t="s">
        <v>119</v>
      </c>
      <c r="B62" s="133">
        <v>84</v>
      </c>
      <c r="C62" s="134" t="s">
        <v>54</v>
      </c>
      <c r="D62" s="123">
        <f>VLOOKUP(B62,'BASE '!$B$2:$AH$87,33,FALSE)</f>
        <v>185201</v>
      </c>
      <c r="E62" s="157"/>
      <c r="F62" s="157"/>
      <c r="G62" s="157"/>
      <c r="H62" s="157"/>
      <c r="I62" s="157"/>
      <c r="J62" s="157"/>
      <c r="K62" s="157"/>
      <c r="M62" s="125">
        <f>VLOOKUP(B62,'MOIS COMP'!$A$14:$AG$99,33,FALSE)</f>
        <v>28484.1</v>
      </c>
      <c r="O62" s="126">
        <f>D62-M62</f>
        <v>156716.9</v>
      </c>
    </row>
    <row r="63" spans="1:15" ht="16.5" thickBot="1" x14ac:dyDescent="0.3">
      <c r="A63" s="89" t="s">
        <v>119</v>
      </c>
      <c r="B63" s="16">
        <v>37</v>
      </c>
      <c r="C63" s="17" t="s">
        <v>60</v>
      </c>
      <c r="D63" s="123">
        <f>VLOOKUP(B63,'BASE '!$B$2:$AH$87,33,FALSE)</f>
        <v>95096</v>
      </c>
      <c r="M63" s="125">
        <f>VLOOKUP(B63,'MOIS COMP'!$A$14:$AG$99,33,FALSE)</f>
        <v>25729</v>
      </c>
      <c r="O63" s="110">
        <f>D63-M63</f>
        <v>69367</v>
      </c>
    </row>
    <row r="64" spans="1:15" ht="16.5" thickBot="1" x14ac:dyDescent="0.3">
      <c r="A64" s="89" t="s">
        <v>119</v>
      </c>
      <c r="B64" s="16">
        <v>34</v>
      </c>
      <c r="C64" s="17" t="s">
        <v>64</v>
      </c>
      <c r="D64" s="123">
        <f>VLOOKUP(B64,'BASE '!$B$2:$AH$87,33,FALSE)</f>
        <v>70653.7</v>
      </c>
      <c r="M64" s="125">
        <f>VLOOKUP(B64,'MOIS COMP'!$A$14:$AG$99,33,FALSE)</f>
        <v>3825.6000000000004</v>
      </c>
      <c r="O64" s="110">
        <f>D64-M64</f>
        <v>66828.099999999991</v>
      </c>
    </row>
    <row r="65" spans="1:15" ht="16.5" thickBot="1" x14ac:dyDescent="0.3">
      <c r="A65" s="89" t="s">
        <v>119</v>
      </c>
      <c r="B65" s="16">
        <v>85</v>
      </c>
      <c r="C65" s="17" t="s">
        <v>48</v>
      </c>
      <c r="D65" s="123">
        <f>VLOOKUP(B65,'BASE '!$B$2:$AH$87,33,FALSE)</f>
        <v>161494.79999999999</v>
      </c>
      <c r="M65" s="125">
        <f>VLOOKUP(B65,'MOIS COMP'!$A$14:$AG$99,33,FALSE)</f>
        <v>111653.1</v>
      </c>
      <c r="O65" s="110">
        <f>D65-M65</f>
        <v>49841.699999999983</v>
      </c>
    </row>
    <row r="66" spans="1:15" ht="16.5" thickBot="1" x14ac:dyDescent="0.3">
      <c r="A66" s="89" t="s">
        <v>119</v>
      </c>
      <c r="B66" s="16">
        <v>33</v>
      </c>
      <c r="C66" s="17" t="s">
        <v>59</v>
      </c>
      <c r="D66" s="123">
        <f>VLOOKUP(B66,'BASE '!$B$2:$AH$87,33,FALSE)</f>
        <v>15355.3</v>
      </c>
      <c r="M66" s="125">
        <f>VLOOKUP(B66,'MOIS COMP'!$A$14:$AG$99,33,FALSE)</f>
        <v>7621.1</v>
      </c>
      <c r="O66" s="110">
        <f>D66-M66</f>
        <v>7734.1999999999989</v>
      </c>
    </row>
    <row r="67" spans="1:15" ht="16.5" thickBot="1" x14ac:dyDescent="0.3">
      <c r="A67" s="89" t="s">
        <v>119</v>
      </c>
      <c r="B67" s="16">
        <v>101</v>
      </c>
      <c r="C67" s="17" t="s">
        <v>47</v>
      </c>
      <c r="D67" s="123">
        <f>VLOOKUP(B67,'BASE '!$B$2:$AH$87,33,FALSE)</f>
        <v>8629</v>
      </c>
      <c r="M67" s="125">
        <f>VLOOKUP(B67,'MOIS COMP'!$A$14:$AG$99,33,FALSE)</f>
        <v>3485.2000000000003</v>
      </c>
      <c r="O67" s="110">
        <f>D67-M67</f>
        <v>5143.7999999999993</v>
      </c>
    </row>
    <row r="68" spans="1:15" ht="16.5" thickBot="1" x14ac:dyDescent="0.3">
      <c r="A68" s="89" t="s">
        <v>119</v>
      </c>
      <c r="B68" s="16">
        <v>32</v>
      </c>
      <c r="C68" s="17" t="s">
        <v>58</v>
      </c>
      <c r="D68" s="123">
        <f>VLOOKUP(B68,'BASE '!$B$2:$AH$87,33,FALSE)</f>
        <v>8785.7000000000007</v>
      </c>
      <c r="M68" s="125">
        <f>VLOOKUP(B68,'MOIS COMP'!$A$14:$AG$99,33,FALSE)</f>
        <v>3947</v>
      </c>
      <c r="O68" s="110">
        <f>D68-M68</f>
        <v>4838.7000000000007</v>
      </c>
    </row>
    <row r="69" spans="1:15" ht="16.5" thickBot="1" x14ac:dyDescent="0.3">
      <c r="A69" s="89" t="s">
        <v>119</v>
      </c>
      <c r="B69" s="16">
        <v>72</v>
      </c>
      <c r="C69" s="17" t="s">
        <v>53</v>
      </c>
      <c r="D69" s="123">
        <f>VLOOKUP(B69,'BASE '!$B$2:$AH$87,33,FALSE)</f>
        <v>292900.7</v>
      </c>
      <c r="M69" s="125">
        <f>VLOOKUP(B69,'MOIS COMP'!$A$14:$AG$99,33,FALSE)</f>
        <v>291438.5</v>
      </c>
      <c r="O69" s="110">
        <f>D69-M69</f>
        <v>1462.2000000000116</v>
      </c>
    </row>
    <row r="70" spans="1:15" ht="16.5" thickBot="1" x14ac:dyDescent="0.3">
      <c r="A70" s="89" t="s">
        <v>119</v>
      </c>
      <c r="B70" s="16">
        <v>81</v>
      </c>
      <c r="C70" s="17" t="s">
        <v>52</v>
      </c>
      <c r="D70" s="123">
        <f>VLOOKUP(B70,'BASE '!$B$2:$AH$87,33,FALSE)</f>
        <v>1421</v>
      </c>
      <c r="M70" s="125">
        <v>0</v>
      </c>
      <c r="O70" s="110">
        <f>D70-M70</f>
        <v>1421</v>
      </c>
    </row>
    <row r="71" spans="1:15" ht="16.5" thickBot="1" x14ac:dyDescent="0.3">
      <c r="A71" s="89" t="s">
        <v>119</v>
      </c>
      <c r="B71" s="16">
        <v>83</v>
      </c>
      <c r="C71" s="17" t="s">
        <v>50</v>
      </c>
      <c r="D71" s="123">
        <f>VLOOKUP(B71,'BASE '!$B$2:$AH$87,33,FALSE)</f>
        <v>1492</v>
      </c>
      <c r="M71" s="125">
        <f>VLOOKUP(B71,'MOIS COMP'!$A$14:$AG$99,33,FALSE)</f>
        <v>939</v>
      </c>
      <c r="O71" s="110">
        <f>D71-M71</f>
        <v>553</v>
      </c>
    </row>
    <row r="72" spans="1:15" ht="16.5" thickBot="1" x14ac:dyDescent="0.3">
      <c r="A72" s="89" t="s">
        <v>119</v>
      </c>
      <c r="B72" s="16">
        <v>102</v>
      </c>
      <c r="C72" s="17" t="s">
        <v>55</v>
      </c>
      <c r="D72" s="123">
        <v>0</v>
      </c>
      <c r="M72" s="125">
        <v>0</v>
      </c>
      <c r="O72" s="160">
        <f>D72-M72</f>
        <v>0</v>
      </c>
    </row>
    <row r="73" spans="1:15" ht="16.5" thickBot="1" x14ac:dyDescent="0.3">
      <c r="A73" s="89" t="s">
        <v>119</v>
      </c>
      <c r="B73" s="16">
        <v>38</v>
      </c>
      <c r="C73" s="17" t="s">
        <v>62</v>
      </c>
      <c r="D73" s="123">
        <v>0</v>
      </c>
      <c r="M73" s="125">
        <v>0</v>
      </c>
      <c r="O73" s="160">
        <f>D73-M73</f>
        <v>0</v>
      </c>
    </row>
    <row r="74" spans="1:15" ht="16.5" thickBot="1" x14ac:dyDescent="0.3">
      <c r="A74" s="89" t="s">
        <v>119</v>
      </c>
      <c r="B74" s="16">
        <v>88</v>
      </c>
      <c r="C74" s="17" t="s">
        <v>45</v>
      </c>
      <c r="D74" s="123">
        <v>0</v>
      </c>
      <c r="E74" s="26" t="e">
        <f>VLOOKUP(C74,'BASE '!C13:AI98,33,FALSE)</f>
        <v>#N/A</v>
      </c>
      <c r="F74" s="26" t="e">
        <f>VLOOKUP(D74,'BASE '!D13:AJ98,33,FALSE)</f>
        <v>#N/A</v>
      </c>
      <c r="G74" s="26" t="e">
        <f>VLOOKUP(E74,'BASE '!E13:AK98,33,FALSE)</f>
        <v>#N/A</v>
      </c>
      <c r="H74" s="26" t="e">
        <f>VLOOKUP(F74,'BASE '!F13:AL98,33,FALSE)</f>
        <v>#N/A</v>
      </c>
      <c r="I74" s="26" t="e">
        <f>VLOOKUP(G74,'BASE '!G13:AM98,33,FALSE)</f>
        <v>#N/A</v>
      </c>
      <c r="J74" s="26" t="e">
        <f>VLOOKUP(H74,'BASE '!H13:AN98,33,FALSE)</f>
        <v>#N/A</v>
      </c>
      <c r="K74" s="26" t="e">
        <f>VLOOKUP(I74,'BASE '!I13:AO98,33,FALSE)</f>
        <v>#N/A</v>
      </c>
      <c r="M74" s="125">
        <f>VLOOKUP(B74,'MOIS COMP'!$A$14:$AG$99,33,FALSE)</f>
        <v>4543</v>
      </c>
      <c r="O74" s="91">
        <f>D74-M74</f>
        <v>-4543</v>
      </c>
    </row>
    <row r="75" spans="1:15" ht="16.5" thickBot="1" x14ac:dyDescent="0.3">
      <c r="A75" s="89" t="s">
        <v>119</v>
      </c>
      <c r="B75" s="16">
        <v>35</v>
      </c>
      <c r="C75" s="17" t="s">
        <v>63</v>
      </c>
      <c r="D75" s="123">
        <f>VLOOKUP(B75,'BASE '!$B$2:$AH$87,33,FALSE)</f>
        <v>99302.5</v>
      </c>
      <c r="M75" s="125">
        <f>VLOOKUP(B75,'MOIS COMP'!$A$14:$AG$99,33,FALSE)</f>
        <v>128258</v>
      </c>
      <c r="O75" s="91">
        <f>D75-M75</f>
        <v>-28955.5</v>
      </c>
    </row>
    <row r="76" spans="1:15" ht="16.5" thickBot="1" x14ac:dyDescent="0.3">
      <c r="A76" s="89" t="s">
        <v>119</v>
      </c>
      <c r="B76" s="16">
        <v>70</v>
      </c>
      <c r="C76" s="17" t="s">
        <v>56</v>
      </c>
      <c r="D76" s="123">
        <f>VLOOKUP(B76,'BASE '!$B$2:$AH$87,33,FALSE)</f>
        <v>241886.19</v>
      </c>
      <c r="M76" s="125">
        <f>VLOOKUP(B76,'MOIS COMP'!$A$14:$AG$99,33,FALSE)</f>
        <v>403940.68000000005</v>
      </c>
      <c r="O76" s="111">
        <f>D76-M76</f>
        <v>-162054.49000000005</v>
      </c>
    </row>
    <row r="77" spans="1:15" ht="15.75" x14ac:dyDescent="0.25">
      <c r="A77" s="89" t="s">
        <v>119</v>
      </c>
      <c r="B77" s="16">
        <v>71</v>
      </c>
      <c r="C77" s="17" t="s">
        <v>49</v>
      </c>
      <c r="D77" s="123">
        <f>VLOOKUP(B77,'BASE '!$B$2:$AH$87,33,FALSE)</f>
        <v>442720.4</v>
      </c>
      <c r="M77" s="125">
        <f>VLOOKUP(B77,'MOIS COMP'!$A$14:$AG$99,33,FALSE)</f>
        <v>672445.29</v>
      </c>
      <c r="O77" s="111">
        <f>D77-M77</f>
        <v>-229724.89</v>
      </c>
    </row>
    <row r="78" spans="1:15" ht="15.75" thickBot="1" x14ac:dyDescent="0.3">
      <c r="A78" s="174" t="s">
        <v>129</v>
      </c>
      <c r="B78" s="175"/>
      <c r="C78" s="175"/>
      <c r="D78" s="152">
        <f>SUM(D62:D77)</f>
        <v>1624938.29</v>
      </c>
      <c r="E78" s="127" t="e">
        <f t="shared" ref="E78:K78" si="6">SUM(E62:E77)</f>
        <v>#N/A</v>
      </c>
      <c r="F78" s="127" t="e">
        <f t="shared" si="6"/>
        <v>#N/A</v>
      </c>
      <c r="G78" s="127" t="e">
        <f t="shared" si="6"/>
        <v>#N/A</v>
      </c>
      <c r="H78" s="127" t="e">
        <f t="shared" si="6"/>
        <v>#N/A</v>
      </c>
      <c r="I78" s="127" t="e">
        <f t="shared" si="6"/>
        <v>#N/A</v>
      </c>
      <c r="J78" s="127" t="e">
        <f t="shared" si="6"/>
        <v>#N/A</v>
      </c>
      <c r="K78" s="145" t="e">
        <f t="shared" si="6"/>
        <v>#N/A</v>
      </c>
      <c r="M78" s="153">
        <f>SUM(M62:M77)</f>
        <v>1686309.57</v>
      </c>
      <c r="O78" s="167">
        <f t="shared" ref="O78" si="7">D78-M78</f>
        <v>-61371.280000000028</v>
      </c>
    </row>
    <row r="79" spans="1:15" ht="15.75" thickBot="1" x14ac:dyDescent="0.3">
      <c r="A79" s="25"/>
      <c r="B79" s="25"/>
      <c r="C79" s="25"/>
      <c r="D79" s="26"/>
    </row>
    <row r="80" spans="1:15" ht="16.5" thickBot="1" x14ac:dyDescent="0.3">
      <c r="A80" s="114" t="s">
        <v>101</v>
      </c>
      <c r="B80" s="133">
        <v>62</v>
      </c>
      <c r="C80" s="134" t="s">
        <v>38</v>
      </c>
      <c r="D80" s="123">
        <f>VLOOKUP(B80,'BASE '!$B$2:$AH$87,33,FALSE)</f>
        <v>24508.799999999999</v>
      </c>
      <c r="E80" s="124"/>
      <c r="F80" s="124"/>
      <c r="G80" s="124"/>
      <c r="H80" s="124"/>
      <c r="I80" s="124"/>
      <c r="J80" s="124"/>
      <c r="K80" s="124"/>
      <c r="M80" s="125">
        <f>VLOOKUP(B80,'MOIS COMP'!$A$3:$AG$87,33,FALSE)</f>
        <v>11384</v>
      </c>
      <c r="O80" s="165">
        <f>D80-M80</f>
        <v>13124.8</v>
      </c>
    </row>
    <row r="81" spans="1:32" ht="16.5" thickBot="1" x14ac:dyDescent="0.3">
      <c r="A81" s="89" t="s">
        <v>101</v>
      </c>
      <c r="B81" s="16">
        <v>14</v>
      </c>
      <c r="C81" s="17" t="s">
        <v>37</v>
      </c>
      <c r="D81" s="123">
        <f>VLOOKUP(B81,'BASE '!$B$2:$AH$87,33,FALSE)</f>
        <v>13614</v>
      </c>
      <c r="M81" s="125">
        <f>VLOOKUP(B81,'MOIS COMP'!$A$3:$AG$87,33,FALSE)</f>
        <v>5531.1</v>
      </c>
      <c r="O81" s="110">
        <f>D81-M81</f>
        <v>8082.9</v>
      </c>
    </row>
    <row r="82" spans="1:32" ht="16.5" thickBot="1" x14ac:dyDescent="0.3">
      <c r="A82" s="89" t="s">
        <v>101</v>
      </c>
      <c r="B82" s="16">
        <v>16</v>
      </c>
      <c r="C82" s="17" t="s">
        <v>29</v>
      </c>
      <c r="D82" s="123">
        <f>VLOOKUP(B82,'BASE '!$B$2:$AH$87,33,FALSE)</f>
        <v>14931.3</v>
      </c>
      <c r="M82" s="125">
        <f>VLOOKUP(B82,'MOIS COMP'!$A$3:$AG$87,33,FALSE)</f>
        <v>9431.2999999999993</v>
      </c>
      <c r="O82" s="110">
        <f>D82-M82</f>
        <v>5500</v>
      </c>
    </row>
    <row r="83" spans="1:32" ht="16.5" thickBot="1" x14ac:dyDescent="0.3">
      <c r="A83" s="89" t="s">
        <v>101</v>
      </c>
      <c r="B83" s="16">
        <v>21</v>
      </c>
      <c r="C83" s="17" t="s">
        <v>30</v>
      </c>
      <c r="D83" s="123">
        <f>VLOOKUP(B83,'BASE '!$B$2:$AH$87,33,FALSE)</f>
        <v>1493</v>
      </c>
      <c r="E83" s="157"/>
      <c r="F83" s="157"/>
      <c r="G83" s="157"/>
      <c r="H83" s="157"/>
      <c r="I83" s="157"/>
      <c r="J83" s="157"/>
      <c r="K83" s="157"/>
      <c r="M83" s="125">
        <v>0</v>
      </c>
      <c r="O83" s="110">
        <f>D83-M83</f>
        <v>1493</v>
      </c>
    </row>
    <row r="84" spans="1:32" ht="16.5" thickBot="1" x14ac:dyDescent="0.3">
      <c r="A84" s="89" t="s">
        <v>101</v>
      </c>
      <c r="B84" s="16">
        <v>17</v>
      </c>
      <c r="C84" s="17" t="s">
        <v>31</v>
      </c>
      <c r="D84" s="123">
        <f>VLOOKUP(B84,'BASE '!$B$2:$AH$87,33,FALSE)</f>
        <v>18860.900000000001</v>
      </c>
      <c r="E84" s="26" t="e">
        <f>VLOOKUP(C84,'BASE '!$B$2:$AH$87,33,FALSE)</f>
        <v>#N/A</v>
      </c>
      <c r="F84" s="26" t="e">
        <f>VLOOKUP(D84,'BASE '!$B$2:$AH$87,33,FALSE)</f>
        <v>#N/A</v>
      </c>
      <c r="G84" s="26" t="e">
        <f>VLOOKUP(E84,'BASE '!$B$2:$AH$87,33,FALSE)</f>
        <v>#N/A</v>
      </c>
      <c r="H84" s="26" t="e">
        <f>VLOOKUP(F84,'BASE '!$B$2:$AH$87,33,FALSE)</f>
        <v>#N/A</v>
      </c>
      <c r="I84" s="26" t="e">
        <f>VLOOKUP(G84,'BASE '!$B$2:$AH$87,33,FALSE)</f>
        <v>#N/A</v>
      </c>
      <c r="J84" s="26" t="e">
        <f>VLOOKUP(H84,'BASE '!$B$2:$AH$87,33,FALSE)</f>
        <v>#N/A</v>
      </c>
      <c r="K84" s="26" t="e">
        <f>VLOOKUP(I84,'BASE '!$B$2:$AH$87,33,FALSE)</f>
        <v>#N/A</v>
      </c>
      <c r="M84" s="125">
        <f>VLOOKUP(B84,'MOIS COMP'!$A$3:$AG$87,33,FALSE)</f>
        <v>27461.8</v>
      </c>
      <c r="O84" s="91">
        <f>D84-M84</f>
        <v>-8600.8999999999978</v>
      </c>
    </row>
    <row r="85" spans="1:32" ht="16.5" thickBot="1" x14ac:dyDescent="0.3">
      <c r="A85" s="89" t="s">
        <v>101</v>
      </c>
      <c r="B85" s="16">
        <v>18</v>
      </c>
      <c r="C85" s="17" t="s">
        <v>34</v>
      </c>
      <c r="D85" s="123">
        <f>VLOOKUP(B85,'BASE '!$B$2:$AH$87,33,FALSE)</f>
        <v>1746</v>
      </c>
      <c r="M85" s="125">
        <f>VLOOKUP(B85,'MOIS COMP'!$A$3:$AG$87,33,FALSE)</f>
        <v>25384.090000000004</v>
      </c>
      <c r="O85" s="91">
        <f>D85-M85</f>
        <v>-23638.090000000004</v>
      </c>
    </row>
    <row r="86" spans="1:32" ht="15.75" x14ac:dyDescent="0.25">
      <c r="A86" s="89" t="s">
        <v>101</v>
      </c>
      <c r="B86" s="16">
        <v>66</v>
      </c>
      <c r="C86" s="17" t="s">
        <v>32</v>
      </c>
      <c r="D86" s="123">
        <f>VLOOKUP(B86,'BASE '!$B$2:$AH$87,33,FALSE)</f>
        <v>243454.50000000003</v>
      </c>
      <c r="M86" s="125">
        <f>VLOOKUP(B86,'MOIS COMP'!$A$3:$AG$87,33,FALSE)</f>
        <v>344271.58999999997</v>
      </c>
      <c r="O86" s="111">
        <f>D86-M86</f>
        <v>-100817.08999999994</v>
      </c>
    </row>
    <row r="87" spans="1:32" ht="15.75" thickBot="1" x14ac:dyDescent="0.3">
      <c r="A87" s="174" t="s">
        <v>150</v>
      </c>
      <c r="B87" s="175"/>
      <c r="C87" s="175"/>
      <c r="D87" s="152">
        <f>SUM(D80:D86)</f>
        <v>318608.5</v>
      </c>
      <c r="E87" s="127" t="e">
        <f t="shared" ref="E87:K87" si="8">SUM(E80:E86)</f>
        <v>#N/A</v>
      </c>
      <c r="F87" s="127" t="e">
        <f t="shared" si="8"/>
        <v>#N/A</v>
      </c>
      <c r="G87" s="127" t="e">
        <f t="shared" si="8"/>
        <v>#N/A</v>
      </c>
      <c r="H87" s="127" t="e">
        <f t="shared" si="8"/>
        <v>#N/A</v>
      </c>
      <c r="I87" s="127" t="e">
        <f t="shared" si="8"/>
        <v>#N/A</v>
      </c>
      <c r="J87" s="127" t="e">
        <f t="shared" si="8"/>
        <v>#N/A</v>
      </c>
      <c r="K87" s="145" t="e">
        <f t="shared" si="8"/>
        <v>#N/A</v>
      </c>
      <c r="L87" s="26"/>
      <c r="M87" s="153">
        <f>SUM(M80:M86)</f>
        <v>423463.88</v>
      </c>
      <c r="N87" s="26"/>
      <c r="O87" s="156">
        <f t="shared" ref="O87" si="9">D87-M87</f>
        <v>-104855.38</v>
      </c>
    </row>
    <row r="88" spans="1:32" ht="15.75" thickBot="1" x14ac:dyDescent="0.3">
      <c r="A88" s="25"/>
      <c r="B88" s="25"/>
      <c r="C88" s="25"/>
      <c r="D88" s="26"/>
    </row>
    <row r="89" spans="1:32" ht="16.5" thickBot="1" x14ac:dyDescent="0.3">
      <c r="A89" s="114" t="s">
        <v>95</v>
      </c>
      <c r="B89" s="133">
        <v>67</v>
      </c>
      <c r="C89" s="134" t="s">
        <v>66</v>
      </c>
      <c r="D89" s="123">
        <f>VLOOKUP(B89,'BASE '!$B$2:$AH$87,33,FALSE)</f>
        <v>213845.28999999998</v>
      </c>
      <c r="E89" s="124"/>
      <c r="F89" s="124"/>
      <c r="G89" s="124"/>
      <c r="H89" s="124"/>
      <c r="I89" s="124"/>
      <c r="J89" s="124"/>
      <c r="K89" s="124"/>
      <c r="M89" s="125">
        <f>VLOOKUP(B89,'MOIS COMP'!$A$3:$AG$87,33,FALSE)</f>
        <v>94087.500000000015</v>
      </c>
      <c r="O89" s="126">
        <f>D89-M89</f>
        <v>119757.78999999996</v>
      </c>
    </row>
    <row r="90" spans="1:32" ht="16.5" thickBot="1" x14ac:dyDescent="0.3">
      <c r="A90" s="89" t="s">
        <v>95</v>
      </c>
      <c r="B90" s="16">
        <v>29</v>
      </c>
      <c r="C90" s="17" t="s">
        <v>73</v>
      </c>
      <c r="D90" s="123">
        <f>VLOOKUP(B90,'BASE '!$B$2:$AH$87,33,FALSE)</f>
        <v>138418.89998779295</v>
      </c>
      <c r="M90" s="125">
        <f>VLOOKUP(B90,'MOIS COMP'!$A$3:$AG$87,33,FALSE)</f>
        <v>60370</v>
      </c>
      <c r="O90" s="110">
        <f>D90-M90</f>
        <v>78048.899987792945</v>
      </c>
    </row>
    <row r="91" spans="1:32" ht="16.5" thickBot="1" x14ac:dyDescent="0.3">
      <c r="A91" s="89" t="s">
        <v>95</v>
      </c>
      <c r="B91" s="16">
        <v>75</v>
      </c>
      <c r="C91" s="17" t="s">
        <v>78</v>
      </c>
      <c r="D91" s="123">
        <f>VLOOKUP(B91,'BASE '!$B$2:$AH$87,33,FALSE)</f>
        <v>530352.86</v>
      </c>
      <c r="M91" s="125">
        <f>VLOOKUP(B91,'MOIS COMP'!$A$3:$AG$87,33,FALSE)</f>
        <v>468107.98</v>
      </c>
      <c r="O91" s="110">
        <f>D91-M91</f>
        <v>62244.880000000005</v>
      </c>
    </row>
    <row r="92" spans="1:32" ht="16.5" thickBot="1" x14ac:dyDescent="0.3">
      <c r="A92" s="89" t="s">
        <v>95</v>
      </c>
      <c r="B92" s="16">
        <v>104</v>
      </c>
      <c r="C92" s="17" t="s">
        <v>68</v>
      </c>
      <c r="D92" s="123">
        <f>VLOOKUP(B92,'BASE '!$B$2:$AH$87,33,FALSE)</f>
        <v>11731</v>
      </c>
      <c r="M92" s="125">
        <f>VLOOKUP(B92,'MOIS COMP'!$A$3:$AG$87,33,FALSE)</f>
        <v>911</v>
      </c>
      <c r="O92" s="110">
        <f>D92-M92</f>
        <v>10820</v>
      </c>
    </row>
    <row r="93" spans="1:32" ht="16.5" thickBot="1" x14ac:dyDescent="0.3">
      <c r="A93" s="89" t="s">
        <v>95</v>
      </c>
      <c r="B93" s="16">
        <v>28</v>
      </c>
      <c r="C93" s="17" t="s">
        <v>81</v>
      </c>
      <c r="D93" s="123">
        <f>VLOOKUP(B93,'BASE '!$B$2:$AH$87,33,FALSE)</f>
        <v>7821.9</v>
      </c>
      <c r="M93" s="125">
        <f>VLOOKUP(B93,'MOIS COMP'!$A$3:$AG$87,33,FALSE)</f>
        <v>2476.4</v>
      </c>
      <c r="O93" s="110">
        <f>D93-M93</f>
        <v>5345.5</v>
      </c>
      <c r="AF93" s="93"/>
    </row>
    <row r="94" spans="1:32" ht="16.5" thickBot="1" x14ac:dyDescent="0.3">
      <c r="A94" s="89" t="s">
        <v>95</v>
      </c>
      <c r="B94" s="16">
        <v>26</v>
      </c>
      <c r="C94" s="17" t="s">
        <v>79</v>
      </c>
      <c r="D94" s="123">
        <f>VLOOKUP(B94,'BASE '!$B$2:$AH$87,33,FALSE)</f>
        <v>3020.7</v>
      </c>
      <c r="M94" s="125">
        <f>VLOOKUP(B94,'MOIS COMP'!$A$3:$AG$87,33,FALSE)</f>
        <v>1573.9</v>
      </c>
      <c r="O94" s="110">
        <f>D94-M94</f>
        <v>1446.7999999999997</v>
      </c>
      <c r="AF94" s="93"/>
    </row>
    <row r="95" spans="1:32" ht="16.5" thickBot="1" x14ac:dyDescent="0.3">
      <c r="A95" s="89" t="s">
        <v>95</v>
      </c>
      <c r="B95" s="16">
        <v>27</v>
      </c>
      <c r="C95" s="17" t="s">
        <v>75</v>
      </c>
      <c r="D95" s="123">
        <f>VLOOKUP(B95,'BASE '!$B$2:$AH$87,33,FALSE)</f>
        <v>4574</v>
      </c>
      <c r="M95" s="125">
        <f>VLOOKUP(B95,'MOIS COMP'!$A$3:$AG$87,33,FALSE)</f>
        <v>3588.59</v>
      </c>
      <c r="O95" s="110">
        <f>D95-M95</f>
        <v>985.40999999999985</v>
      </c>
    </row>
    <row r="96" spans="1:32" ht="16.5" thickBot="1" x14ac:dyDescent="0.3">
      <c r="A96" s="89" t="s">
        <v>95</v>
      </c>
      <c r="B96" s="16">
        <v>107</v>
      </c>
      <c r="C96" s="17" t="s">
        <v>80</v>
      </c>
      <c r="D96" s="123">
        <f>VLOOKUP(B96,'BASE '!$B$2:$AH$87,33,FALSE)</f>
        <v>983</v>
      </c>
      <c r="M96" s="125">
        <f>VLOOKUP(B96,'MOIS COMP'!$A$3:$AG$87,33,FALSE)</f>
        <v>229</v>
      </c>
      <c r="O96" s="110">
        <f>D96-M96</f>
        <v>754</v>
      </c>
    </row>
    <row r="97" spans="1:15" ht="16.5" customHeight="1" thickBot="1" x14ac:dyDescent="0.3">
      <c r="A97" s="89" t="s">
        <v>95</v>
      </c>
      <c r="B97" s="16">
        <v>106</v>
      </c>
      <c r="C97" s="17" t="s">
        <v>77</v>
      </c>
      <c r="D97" s="123">
        <f>VLOOKUP(B97,'BASE '!$B$2:$AH$87,33,FALSE)</f>
        <v>1192</v>
      </c>
      <c r="M97" s="125">
        <f>VLOOKUP(B97,'MOIS COMP'!$A$3:$AG$87,33,FALSE)</f>
        <v>1994</v>
      </c>
      <c r="O97" s="91">
        <f>D97-M97</f>
        <v>-802</v>
      </c>
    </row>
    <row r="98" spans="1:15" ht="16.5" thickBot="1" x14ac:dyDescent="0.3">
      <c r="A98" s="89" t="s">
        <v>95</v>
      </c>
      <c r="B98" s="16">
        <v>105</v>
      </c>
      <c r="C98" s="17" t="s">
        <v>71</v>
      </c>
      <c r="D98" s="123">
        <f>VLOOKUP(B98,'BASE '!$B$2:$AH$87,33,FALSE)</f>
        <v>31682.7</v>
      </c>
      <c r="E98" s="157"/>
      <c r="F98" s="157"/>
      <c r="G98" s="157"/>
      <c r="H98" s="157"/>
      <c r="I98" s="157"/>
      <c r="J98" s="157"/>
      <c r="K98" s="157"/>
      <c r="M98" s="125">
        <f>VLOOKUP(B98,'MOIS COMP'!$A$3:$AG$87,33,FALSE)</f>
        <v>38778.19</v>
      </c>
      <c r="O98" s="91">
        <f>D98-M98</f>
        <v>-7095.4900000000016</v>
      </c>
    </row>
    <row r="99" spans="1:15" ht="16.5" thickBot="1" x14ac:dyDescent="0.3">
      <c r="A99" s="89" t="s">
        <v>95</v>
      </c>
      <c r="B99" s="16">
        <v>36</v>
      </c>
      <c r="C99" s="17" t="s">
        <v>82</v>
      </c>
      <c r="D99" s="123">
        <f>VLOOKUP(B99,'BASE '!$B$2:$AH$87,33,FALSE)</f>
        <v>18751.400000000001</v>
      </c>
      <c r="E99" s="26" t="e">
        <f>VLOOKUP(C99,'BASE '!$B$2:$AH$87,33,FALSE)</f>
        <v>#N/A</v>
      </c>
      <c r="F99" s="26" t="e">
        <f>VLOOKUP(D99,'BASE '!$B$2:$AH$87,33,FALSE)</f>
        <v>#N/A</v>
      </c>
      <c r="G99" s="26" t="e">
        <f>VLOOKUP(E99,'BASE '!$B$2:$AH$87,33,FALSE)</f>
        <v>#N/A</v>
      </c>
      <c r="H99" s="26" t="e">
        <f>VLOOKUP(F99,'BASE '!$B$2:$AH$87,33,FALSE)</f>
        <v>#N/A</v>
      </c>
      <c r="I99" s="26" t="e">
        <f>VLOOKUP(G99,'BASE '!$B$2:$AH$87,33,FALSE)</f>
        <v>#N/A</v>
      </c>
      <c r="J99" s="26" t="e">
        <f>VLOOKUP(H99,'BASE '!$B$2:$AH$87,33,FALSE)</f>
        <v>#N/A</v>
      </c>
      <c r="K99" s="26" t="e">
        <f>VLOOKUP(I99,'BASE '!$B$2:$AH$87,33,FALSE)</f>
        <v>#N/A</v>
      </c>
      <c r="M99" s="125">
        <f>VLOOKUP(B99,'MOIS COMP'!$A$3:$AG$87,33,FALSE)</f>
        <v>32327.5</v>
      </c>
      <c r="O99" s="91">
        <f>D99-M99</f>
        <v>-13576.099999999999</v>
      </c>
    </row>
    <row r="100" spans="1:15" ht="16.5" thickBot="1" x14ac:dyDescent="0.3">
      <c r="A100" s="89" t="s">
        <v>95</v>
      </c>
      <c r="B100" s="16">
        <v>25</v>
      </c>
      <c r="C100" s="17" t="s">
        <v>76</v>
      </c>
      <c r="D100" s="123">
        <f>VLOOKUP(B100,'BASE '!$B$2:$AH$87,33,FALSE)</f>
        <v>51326.17</v>
      </c>
      <c r="M100" s="125">
        <f>VLOOKUP(B100,'MOIS COMP'!$A$3:$AG$87,33,FALSE)</f>
        <v>71052.290000000008</v>
      </c>
      <c r="O100" s="91">
        <f>D100-M100</f>
        <v>-19726.12000000001</v>
      </c>
    </row>
    <row r="101" spans="1:15" ht="16.5" thickBot="1" x14ac:dyDescent="0.3">
      <c r="A101" s="89" t="s">
        <v>95</v>
      </c>
      <c r="B101" s="16">
        <v>76</v>
      </c>
      <c r="C101" s="17" t="s">
        <v>67</v>
      </c>
      <c r="D101" s="123">
        <f>VLOOKUP(B101,'BASE '!$B$2:$AH$87,33,FALSE)</f>
        <v>6296.3</v>
      </c>
      <c r="M101" s="125">
        <f>VLOOKUP(B101,'MOIS COMP'!$A$3:$AG$87,33,FALSE)</f>
        <v>26651</v>
      </c>
      <c r="O101" s="91">
        <f>D101-M101</f>
        <v>-20354.7</v>
      </c>
    </row>
    <row r="102" spans="1:15" ht="16.5" thickBot="1" x14ac:dyDescent="0.3">
      <c r="A102" s="89" t="s">
        <v>95</v>
      </c>
      <c r="B102" s="16">
        <v>61</v>
      </c>
      <c r="C102" s="17" t="s">
        <v>74</v>
      </c>
      <c r="D102" s="123">
        <f>VLOOKUP(B102,'BASE '!$B$2:$AH$87,33,FALSE)</f>
        <v>106071</v>
      </c>
      <c r="M102" s="125">
        <f>VLOOKUP(B102,'MOIS COMP'!$A$3:$AG$87,33,FALSE)</f>
        <v>135490.35999999999</v>
      </c>
      <c r="O102" s="91">
        <f>D102-M102</f>
        <v>-29419.359999999986</v>
      </c>
    </row>
    <row r="103" spans="1:15" ht="16.5" thickBot="1" x14ac:dyDescent="0.3">
      <c r="A103" s="89" t="s">
        <v>95</v>
      </c>
      <c r="B103" s="16">
        <v>103</v>
      </c>
      <c r="C103" s="17" t="s">
        <v>65</v>
      </c>
      <c r="D103" s="123">
        <f>VLOOKUP(B103,'BASE '!$B$2:$AH$87,33,FALSE)</f>
        <v>42033.3</v>
      </c>
      <c r="M103" s="125">
        <f>VLOOKUP(B103,'MOIS COMP'!$A$3:$AG$87,33,FALSE)</f>
        <v>86452</v>
      </c>
      <c r="O103" s="91">
        <f>D103-M103</f>
        <v>-44418.7</v>
      </c>
    </row>
    <row r="104" spans="1:15" ht="16.5" thickBot="1" x14ac:dyDescent="0.3">
      <c r="A104" s="89" t="s">
        <v>95</v>
      </c>
      <c r="B104" s="16">
        <v>77</v>
      </c>
      <c r="C104" s="17" t="s">
        <v>72</v>
      </c>
      <c r="D104" s="123">
        <f>VLOOKUP(B104,'BASE '!$B$2:$AH$87,33,FALSE)</f>
        <v>169833.7</v>
      </c>
      <c r="M104" s="125">
        <f>VLOOKUP(B104,'MOIS COMP'!$A$3:$AG$87,33,FALSE)</f>
        <v>241599.18000000002</v>
      </c>
      <c r="O104" s="91">
        <f>D104-M104</f>
        <v>-71765.48000000001</v>
      </c>
    </row>
    <row r="105" spans="1:15" ht="16.5" thickBot="1" x14ac:dyDescent="0.3">
      <c r="A105" s="89" t="s">
        <v>95</v>
      </c>
      <c r="B105" s="16">
        <v>87</v>
      </c>
      <c r="C105" s="17" t="s">
        <v>69</v>
      </c>
      <c r="D105" s="123">
        <f>VLOOKUP(B105,'BASE '!$B$2:$AH$87,33,FALSE)</f>
        <v>33292.6</v>
      </c>
      <c r="M105" s="125">
        <f>VLOOKUP(B105,'MOIS COMP'!$A$3:$AG$87,33,FALSE)</f>
        <v>114650</v>
      </c>
      <c r="O105" s="91">
        <f>D105-M105</f>
        <v>-81357.399999999994</v>
      </c>
    </row>
    <row r="106" spans="1:15" ht="15.75" x14ac:dyDescent="0.25">
      <c r="A106" s="89" t="s">
        <v>95</v>
      </c>
      <c r="B106" s="16">
        <v>65</v>
      </c>
      <c r="C106" s="17" t="s">
        <v>70</v>
      </c>
      <c r="D106" s="123">
        <f>VLOOKUP(B106,'BASE '!$B$2:$AH$87,33,FALSE)</f>
        <v>416206.47000000003</v>
      </c>
      <c r="M106" s="125">
        <f>VLOOKUP(B106,'MOIS COMP'!$A$3:$AG$87,33,FALSE)</f>
        <v>613471.15</v>
      </c>
      <c r="O106" s="111">
        <f>D106-M106</f>
        <v>-197264.68</v>
      </c>
    </row>
    <row r="107" spans="1:15" ht="15.75" thickBot="1" x14ac:dyDescent="0.3">
      <c r="A107" s="174" t="s">
        <v>150</v>
      </c>
      <c r="B107" s="175"/>
      <c r="C107" s="175"/>
      <c r="D107" s="152">
        <f>SUM(D89:D106)</f>
        <v>1787433.289987793</v>
      </c>
      <c r="E107" s="127" t="e">
        <f t="shared" ref="E107:K107" si="10">SUM(E89:E106)</f>
        <v>#N/A</v>
      </c>
      <c r="F107" s="127" t="e">
        <f t="shared" si="10"/>
        <v>#N/A</v>
      </c>
      <c r="G107" s="127" t="e">
        <f t="shared" si="10"/>
        <v>#N/A</v>
      </c>
      <c r="H107" s="127" t="e">
        <f t="shared" si="10"/>
        <v>#N/A</v>
      </c>
      <c r="I107" s="127" t="e">
        <f t="shared" si="10"/>
        <v>#N/A</v>
      </c>
      <c r="J107" s="127" t="e">
        <f t="shared" si="10"/>
        <v>#N/A</v>
      </c>
      <c r="K107" s="145" t="e">
        <f t="shared" si="10"/>
        <v>#N/A</v>
      </c>
      <c r="L107" s="26"/>
      <c r="M107" s="153">
        <f>SUM(M89:M106)</f>
        <v>1993810.04</v>
      </c>
      <c r="N107" s="26"/>
      <c r="O107" s="156">
        <f t="shared" ref="O107" si="11">D107-M107</f>
        <v>-206376.75001220708</v>
      </c>
    </row>
    <row r="108" spans="1:15" ht="15.75" thickBot="1" x14ac:dyDescent="0.3">
      <c r="A108" s="25"/>
      <c r="B108" s="25"/>
      <c r="C108" s="25"/>
      <c r="D108" s="26"/>
    </row>
    <row r="109" spans="1:15" ht="16.5" thickBot="1" x14ac:dyDescent="0.3">
      <c r="A109" s="114" t="s">
        <v>100</v>
      </c>
      <c r="B109" s="133">
        <v>23</v>
      </c>
      <c r="C109" s="134" t="s">
        <v>42</v>
      </c>
      <c r="D109" s="123">
        <f>VLOOKUP(B109,'BASE '!$B$2:$AH$87,33,FALSE)</f>
        <v>176643.30000000002</v>
      </c>
      <c r="E109" s="124"/>
      <c r="F109" s="124"/>
      <c r="G109" s="124"/>
      <c r="H109" s="124"/>
      <c r="I109" s="124"/>
      <c r="J109" s="124"/>
      <c r="K109" s="124"/>
      <c r="M109" s="125">
        <f>VLOOKUP(B109,'MOIS COMP'!$A$3:$AG$88,33,FALSE)</f>
        <v>135246.29</v>
      </c>
      <c r="O109" s="165">
        <f>D109-M109</f>
        <v>41397.010000000009</v>
      </c>
    </row>
    <row r="110" spans="1:15" ht="16.5" thickBot="1" x14ac:dyDescent="0.3">
      <c r="A110" s="89" t="s">
        <v>100</v>
      </c>
      <c r="B110" s="16">
        <v>24</v>
      </c>
      <c r="C110" s="17" t="s">
        <v>43</v>
      </c>
      <c r="D110" s="123">
        <f>VLOOKUP(B110,'BASE '!$B$2:$AH$87,33,FALSE)</f>
        <v>12059.4</v>
      </c>
      <c r="M110" s="125">
        <f>VLOOKUP(B110,'MOIS COMP'!$A$3:$AG$88,33,FALSE)</f>
        <v>1711</v>
      </c>
      <c r="O110" s="110">
        <f>D110-M110</f>
        <v>10348.4</v>
      </c>
    </row>
    <row r="111" spans="1:15" ht="16.5" thickBot="1" x14ac:dyDescent="0.3">
      <c r="A111" s="89" t="s">
        <v>100</v>
      </c>
      <c r="B111" s="16">
        <v>108</v>
      </c>
      <c r="C111" s="17" t="s">
        <v>44</v>
      </c>
      <c r="D111" s="123">
        <f>VLOOKUP(B111,'BASE '!$B$2:$AH$87,33,FALSE)</f>
        <v>1187</v>
      </c>
      <c r="M111" s="125">
        <f>VLOOKUP(B111,'MOIS COMP'!$A$3:$AG$88,33,FALSE)</f>
        <v>4559</v>
      </c>
      <c r="O111" s="91">
        <f>D111-M111</f>
        <v>-3372</v>
      </c>
    </row>
    <row r="112" spans="1:15" ht="16.5" thickBot="1" x14ac:dyDescent="0.3">
      <c r="A112" s="89" t="s">
        <v>100</v>
      </c>
      <c r="B112" s="16">
        <v>69</v>
      </c>
      <c r="C112" s="17" t="s">
        <v>39</v>
      </c>
      <c r="D112" s="123">
        <f>VLOOKUP(B112,'BASE '!$B$2:$AH$87,33,FALSE)</f>
        <v>72523.5</v>
      </c>
      <c r="M112" s="125">
        <f>VLOOKUP(B112,'MOIS COMP'!$A$3:$AG$88,33,FALSE)</f>
        <v>87637.4</v>
      </c>
      <c r="O112" s="91">
        <f>D112-M112</f>
        <v>-15113.899999999994</v>
      </c>
    </row>
    <row r="113" spans="1:15" ht="16.5" thickBot="1" x14ac:dyDescent="0.3">
      <c r="A113" s="89" t="s">
        <v>100</v>
      </c>
      <c r="B113" s="16">
        <v>64</v>
      </c>
      <c r="C113" s="17" t="s">
        <v>40</v>
      </c>
      <c r="D113" s="123">
        <f>VLOOKUP(B113,'BASE '!$B$2:$AH$87,33,FALSE)</f>
        <v>409021.68999999994</v>
      </c>
      <c r="M113" s="125">
        <f>VLOOKUP(B113,'MOIS COMP'!$A$3:$AG$88,33,FALSE)</f>
        <v>438550.57999999996</v>
      </c>
      <c r="O113" s="91">
        <f>D113-M113</f>
        <v>-29528.890000000014</v>
      </c>
    </row>
    <row r="114" spans="1:15" ht="15.75" x14ac:dyDescent="0.25">
      <c r="A114" s="89" t="s">
        <v>100</v>
      </c>
      <c r="B114" s="16">
        <v>68</v>
      </c>
      <c r="C114" s="17" t="s">
        <v>41</v>
      </c>
      <c r="D114" s="123">
        <f>VLOOKUP(B114,'BASE '!$B$2:$AH$87,33,FALSE)</f>
        <v>165125.99000000002</v>
      </c>
      <c r="M114" s="125">
        <f>VLOOKUP(B114,'MOIS COMP'!$A$3:$AG$88,33,FALSE)</f>
        <v>272566.3</v>
      </c>
      <c r="O114" s="111">
        <f>D114-M114</f>
        <v>-107440.30999999997</v>
      </c>
    </row>
    <row r="115" spans="1:15" ht="15.75" thickBot="1" x14ac:dyDescent="0.3">
      <c r="A115" s="174" t="s">
        <v>150</v>
      </c>
      <c r="B115" s="175"/>
      <c r="C115" s="175"/>
      <c r="D115" s="143">
        <f>SUM(D109:D114)</f>
        <v>836560.87999999989</v>
      </c>
      <c r="E115" s="136">
        <f t="shared" ref="E115:K115" si="12">SUM(E109:E114)</f>
        <v>0</v>
      </c>
      <c r="F115" s="127">
        <f t="shared" si="12"/>
        <v>0</v>
      </c>
      <c r="G115" s="127">
        <f t="shared" si="12"/>
        <v>0</v>
      </c>
      <c r="H115" s="127">
        <f t="shared" si="12"/>
        <v>0</v>
      </c>
      <c r="I115" s="127">
        <f t="shared" si="12"/>
        <v>0</v>
      </c>
      <c r="J115" s="127">
        <f t="shared" si="12"/>
        <v>0</v>
      </c>
      <c r="K115" s="145">
        <f t="shared" si="12"/>
        <v>0</v>
      </c>
      <c r="L115" s="26"/>
      <c r="M115" s="153">
        <f>SUM(M109:M114)</f>
        <v>940270.57000000007</v>
      </c>
      <c r="N115" s="26"/>
      <c r="O115" s="156">
        <f t="shared" ref="O115" si="13">D115-M115</f>
        <v>-103709.69000000018</v>
      </c>
    </row>
    <row r="116" spans="1:15" x14ac:dyDescent="0.25">
      <c r="A116" s="25"/>
      <c r="B116" s="25"/>
      <c r="C116" s="25"/>
      <c r="D116" s="26"/>
    </row>
    <row r="117" spans="1:15" ht="16.5" thickBot="1" x14ac:dyDescent="0.3">
      <c r="A117" s="94" t="s">
        <v>147</v>
      </c>
      <c r="B117" s="95"/>
      <c r="C117" s="95"/>
      <c r="D117" s="92">
        <f t="shared" ref="D117:M117" si="14">D60+D78+D87+D107+D115</f>
        <v>5289369.7299877927</v>
      </c>
      <c r="E117" s="92" t="e">
        <f t="shared" si="14"/>
        <v>#N/A</v>
      </c>
      <c r="F117" s="92" t="e">
        <f t="shared" si="14"/>
        <v>#N/A</v>
      </c>
      <c r="G117" s="92" t="e">
        <f t="shared" si="14"/>
        <v>#N/A</v>
      </c>
      <c r="H117" s="92" t="e">
        <f t="shared" si="14"/>
        <v>#N/A</v>
      </c>
      <c r="I117" s="92" t="e">
        <f t="shared" si="14"/>
        <v>#N/A</v>
      </c>
      <c r="J117" s="92" t="e">
        <f t="shared" si="14"/>
        <v>#N/A</v>
      </c>
      <c r="K117" s="147" t="e">
        <f t="shared" si="14"/>
        <v>#N/A</v>
      </c>
      <c r="M117" s="149">
        <f t="shared" si="14"/>
        <v>5985189.71</v>
      </c>
      <c r="O117" s="92">
        <f>D117-M117</f>
        <v>-695819.98001220729</v>
      </c>
    </row>
    <row r="118" spans="1:15" ht="15.75" thickBot="1" x14ac:dyDescent="0.3">
      <c r="O118" s="26"/>
    </row>
    <row r="119" spans="1:15" ht="16.5" thickBot="1" x14ac:dyDescent="0.3">
      <c r="A119" s="96" t="s">
        <v>0</v>
      </c>
      <c r="B119" s="97"/>
      <c r="C119" s="97"/>
      <c r="D119" s="98">
        <f>D38+D46+D117</f>
        <v>28664846.54298779</v>
      </c>
      <c r="E119" s="99" t="e">
        <f t="shared" ref="E119:K119" si="15">E35+E46+E117</f>
        <v>#N/A</v>
      </c>
      <c r="F119" s="99" t="e">
        <f t="shared" si="15"/>
        <v>#N/A</v>
      </c>
      <c r="G119" s="99" t="e">
        <f t="shared" si="15"/>
        <v>#N/A</v>
      </c>
      <c r="H119" s="99" t="e">
        <f t="shared" si="15"/>
        <v>#N/A</v>
      </c>
      <c r="I119" s="99" t="e">
        <f t="shared" si="15"/>
        <v>#N/A</v>
      </c>
      <c r="J119" s="99" t="e">
        <f t="shared" si="15"/>
        <v>#N/A</v>
      </c>
      <c r="K119" s="99" t="e">
        <f t="shared" si="15"/>
        <v>#N/A</v>
      </c>
      <c r="M119" s="150">
        <f>M38+M46+M117</f>
        <v>34478312.810999997</v>
      </c>
      <c r="O119" s="98">
        <f>D119-M119</f>
        <v>-5813466.268012207</v>
      </c>
    </row>
    <row r="123" spans="1:15" x14ac:dyDescent="0.25">
      <c r="D123" s="26"/>
    </row>
  </sheetData>
  <autoFilter ref="A5:O5" xr:uid="{6B3B3C06-69F6-40EE-8411-F89DD687FD65}"/>
  <sortState xmlns:xlrd2="http://schemas.microsoft.com/office/spreadsheetml/2017/richdata2" ref="A109:O114">
    <sortCondition descending="1" ref="O109:O114"/>
  </sortState>
  <mergeCells count="9">
    <mergeCell ref="A87:C87"/>
    <mergeCell ref="A107:C107"/>
    <mergeCell ref="A115:C115"/>
    <mergeCell ref="A46:C46"/>
    <mergeCell ref="A15:C15"/>
    <mergeCell ref="A23:C23"/>
    <mergeCell ref="A36:C36"/>
    <mergeCell ref="A60:C60"/>
    <mergeCell ref="A78:C78"/>
  </mergeCells>
  <pageMargins left="0.25" right="0.25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Feuil1"/>
  <dimension ref="A1:I32"/>
  <sheetViews>
    <sheetView topLeftCell="A4" workbookViewId="0">
      <pane xSplit="2" topLeftCell="C1" activePane="topRight" state="frozen"/>
      <selection activeCell="H24" sqref="H24"/>
      <selection pane="topRight" activeCell="F11" sqref="F11"/>
    </sheetView>
  </sheetViews>
  <sheetFormatPr baseColWidth="10" defaultRowHeight="15" x14ac:dyDescent="0.25"/>
  <cols>
    <col min="1" max="1" width="7" customWidth="1"/>
    <col min="2" max="2" width="11" customWidth="1"/>
    <col min="3" max="3" width="18.85546875" customWidth="1"/>
    <col min="4" max="4" width="20.85546875" hidden="1" customWidth="1"/>
    <col min="6" max="6" width="17.28515625" customWidth="1"/>
    <col min="7" max="7" width="12.140625" style="2" customWidth="1"/>
    <col min="8" max="8" width="14" customWidth="1"/>
    <col min="9" max="9" width="39.28515625" customWidth="1"/>
  </cols>
  <sheetData>
    <row r="1" spans="1:8" x14ac:dyDescent="0.25">
      <c r="A1" s="1" t="s">
        <v>0</v>
      </c>
    </row>
    <row r="2" spans="1:8" x14ac:dyDescent="0.25">
      <c r="A2" s="1" t="s">
        <v>1</v>
      </c>
    </row>
    <row r="3" spans="1:8" ht="15" customHeight="1" x14ac:dyDescent="0.25">
      <c r="A3" s="1" t="s">
        <v>148</v>
      </c>
      <c r="F3" s="184"/>
      <c r="G3" s="184"/>
      <c r="H3" s="184"/>
    </row>
    <row r="4" spans="1:8" s="2" customFormat="1" ht="18" customHeight="1" x14ac:dyDescent="0.25">
      <c r="F4" s="185" t="str">
        <f>'BASE '!P92</f>
        <v>ENCAISSEMENTS AU 12/04/2026</v>
      </c>
      <c r="G4" s="185"/>
      <c r="H4" s="185"/>
    </row>
    <row r="5" spans="1:8" ht="30" x14ac:dyDescent="0.25">
      <c r="A5" s="5" t="s">
        <v>20</v>
      </c>
      <c r="B5" s="4" t="s">
        <v>2</v>
      </c>
      <c r="C5" s="5" t="s">
        <v>3</v>
      </c>
      <c r="D5" s="4" t="s">
        <v>111</v>
      </c>
      <c r="E5" s="4" t="s">
        <v>113</v>
      </c>
      <c r="F5" s="4" t="s">
        <v>116</v>
      </c>
      <c r="G5" s="4" t="s">
        <v>4</v>
      </c>
      <c r="H5" s="4" t="s">
        <v>115</v>
      </c>
    </row>
    <row r="6" spans="1:8" ht="15.75" x14ac:dyDescent="0.25">
      <c r="A6" s="35" t="s">
        <v>28</v>
      </c>
      <c r="B6" s="6">
        <v>41</v>
      </c>
      <c r="C6" s="7" t="s">
        <v>83</v>
      </c>
      <c r="D6" s="8">
        <v>3500000</v>
      </c>
      <c r="E6" s="10">
        <v>2530000</v>
      </c>
      <c r="F6" s="10">
        <f>VLOOKUP(B6,'BASE '!$B$2:$AH$87,33,FALSE)</f>
        <v>1049827.5919999999</v>
      </c>
      <c r="G6" s="11">
        <f t="shared" ref="G6:G31" si="0">F6-E6</f>
        <v>-1480172.4080000001</v>
      </c>
      <c r="H6" s="107">
        <f t="shared" ref="H6:H31" si="1">F6/E6</f>
        <v>0.41495161739130432</v>
      </c>
    </row>
    <row r="7" spans="1:8" ht="15.75" x14ac:dyDescent="0.25">
      <c r="A7" s="35" t="s">
        <v>28</v>
      </c>
      <c r="B7" s="6">
        <v>44</v>
      </c>
      <c r="C7" s="7" t="s">
        <v>13</v>
      </c>
      <c r="D7" s="8">
        <v>2000000</v>
      </c>
      <c r="E7" s="10">
        <v>1650000.0000000002</v>
      </c>
      <c r="F7" s="10">
        <f>VLOOKUP(B7,'BASE '!$B$2:$AH$87,33,FALSE)</f>
        <v>424042.30000000005</v>
      </c>
      <c r="G7" s="11">
        <f t="shared" si="0"/>
        <v>-1225957.7000000002</v>
      </c>
      <c r="H7" s="107">
        <f t="shared" si="1"/>
        <v>0.2569953333333333</v>
      </c>
    </row>
    <row r="8" spans="1:8" ht="15.75" x14ac:dyDescent="0.25">
      <c r="A8" s="35" t="s">
        <v>28</v>
      </c>
      <c r="B8" s="6">
        <v>48</v>
      </c>
      <c r="C8" s="7" t="s">
        <v>92</v>
      </c>
      <c r="D8" s="8">
        <v>2500000</v>
      </c>
      <c r="E8" s="10">
        <v>2527668</v>
      </c>
      <c r="F8" s="10">
        <f>VLOOKUP(B8,'BASE '!$B$2:$AH$87,33,FALSE)</f>
        <v>468417.49999999994</v>
      </c>
      <c r="G8" s="11">
        <f t="shared" si="0"/>
        <v>-2059250.5</v>
      </c>
      <c r="H8" s="107">
        <f t="shared" si="1"/>
        <v>0.18531606999020439</v>
      </c>
    </row>
    <row r="9" spans="1:8" ht="15.75" x14ac:dyDescent="0.25">
      <c r="A9" s="35" t="s">
        <v>28</v>
      </c>
      <c r="B9" s="6">
        <v>86</v>
      </c>
      <c r="C9" s="7" t="s">
        <v>19</v>
      </c>
      <c r="D9" s="8">
        <v>2500000</v>
      </c>
      <c r="E9" s="10">
        <v>1561340.0000000002</v>
      </c>
      <c r="F9" s="10">
        <f>VLOOKUP(B9,'BASE '!$B$2:$AH$87,33,FALSE)</f>
        <v>583133.1</v>
      </c>
      <c r="G9" s="11">
        <f t="shared" si="0"/>
        <v>-978206.90000000026</v>
      </c>
      <c r="H9" s="108">
        <f t="shared" si="1"/>
        <v>0.37348245737635616</v>
      </c>
    </row>
    <row r="10" spans="1:8" ht="15.75" x14ac:dyDescent="0.25">
      <c r="A10" s="35" t="s">
        <v>28</v>
      </c>
      <c r="B10" s="6">
        <v>47</v>
      </c>
      <c r="C10" s="7" t="s">
        <v>91</v>
      </c>
      <c r="D10" s="8">
        <v>3500000</v>
      </c>
      <c r="E10" s="10">
        <v>2530000</v>
      </c>
      <c r="F10" s="10">
        <f>VLOOKUP(B10,'BASE '!$B$2:$AH$87,33,FALSE)</f>
        <v>789965.59</v>
      </c>
      <c r="G10" s="11">
        <f t="shared" si="0"/>
        <v>-1740034.4100000001</v>
      </c>
      <c r="H10" s="108">
        <f t="shared" si="1"/>
        <v>0.31223936363636362</v>
      </c>
    </row>
    <row r="11" spans="1:8" ht="15.75" x14ac:dyDescent="0.25">
      <c r="A11" s="35" t="s">
        <v>28</v>
      </c>
      <c r="B11" s="6">
        <v>98</v>
      </c>
      <c r="C11" s="7" t="s">
        <v>12</v>
      </c>
      <c r="D11" s="8">
        <v>3700000</v>
      </c>
      <c r="E11" s="10">
        <v>3300000.0000000005</v>
      </c>
      <c r="F11" s="10">
        <f>VLOOKUP(B11,'BASE '!$B$2:$AH$87,33,FALSE)</f>
        <v>494924.01</v>
      </c>
      <c r="G11" s="11">
        <f t="shared" si="0"/>
        <v>-2805075.99</v>
      </c>
      <c r="H11" s="108">
        <f t="shared" si="1"/>
        <v>0.1499769727272727</v>
      </c>
    </row>
    <row r="12" spans="1:8" ht="15.75" x14ac:dyDescent="0.25">
      <c r="A12" s="35" t="s">
        <v>28</v>
      </c>
      <c r="B12" s="6">
        <v>96</v>
      </c>
      <c r="C12" s="7" t="s">
        <v>6</v>
      </c>
      <c r="D12" s="8">
        <v>4500000</v>
      </c>
      <c r="E12" s="10">
        <v>4400000</v>
      </c>
      <c r="F12" s="10">
        <f>VLOOKUP(B12,'BASE '!$B$2:$AH$87,33,FALSE)</f>
        <v>1460235.87</v>
      </c>
      <c r="G12" s="11">
        <f t="shared" si="0"/>
        <v>-2939764.13</v>
      </c>
      <c r="H12" s="108">
        <f t="shared" si="1"/>
        <v>0.33187178863636368</v>
      </c>
    </row>
    <row r="13" spans="1:8" ht="15.75" x14ac:dyDescent="0.25">
      <c r="A13" s="35" t="s">
        <v>28</v>
      </c>
      <c r="B13" s="6">
        <v>52</v>
      </c>
      <c r="C13" s="34" t="s">
        <v>89</v>
      </c>
      <c r="D13" s="8">
        <v>1800000</v>
      </c>
      <c r="E13" s="10">
        <v>1810468.0000000002</v>
      </c>
      <c r="F13" s="10">
        <f>VLOOKUP(B13,'BASE '!$B$2:$AH$87,33,FALSE)</f>
        <v>447698.68999999994</v>
      </c>
      <c r="G13" s="11">
        <f t="shared" si="0"/>
        <v>-1362769.3100000003</v>
      </c>
      <c r="H13" s="79">
        <f t="shared" si="1"/>
        <v>0.24728340407010777</v>
      </c>
    </row>
    <row r="14" spans="1:8" x14ac:dyDescent="0.25">
      <c r="A14" s="35" t="s">
        <v>28</v>
      </c>
      <c r="B14" s="6">
        <v>99</v>
      </c>
      <c r="C14" s="7" t="s">
        <v>8</v>
      </c>
      <c r="D14" s="8">
        <v>2000000</v>
      </c>
      <c r="E14" s="10">
        <v>2389332</v>
      </c>
      <c r="F14" s="10">
        <f>VLOOKUP(B14,'BASE '!$B$2:$AH$87,33,FALSE)</f>
        <v>512338.89</v>
      </c>
      <c r="G14" s="11">
        <f t="shared" si="0"/>
        <v>-1876993.1099999999</v>
      </c>
      <c r="H14" s="80">
        <f t="shared" si="1"/>
        <v>0.21442766848642214</v>
      </c>
    </row>
    <row r="15" spans="1:8" ht="15.75" x14ac:dyDescent="0.25">
      <c r="A15" s="35" t="s">
        <v>90</v>
      </c>
      <c r="B15" s="6">
        <v>91</v>
      </c>
      <c r="C15" s="7" t="s">
        <v>18</v>
      </c>
      <c r="D15" s="8">
        <v>9000000</v>
      </c>
      <c r="E15" s="10">
        <v>8800000</v>
      </c>
      <c r="F15" s="10">
        <f>VLOOKUP(B15,'BASE '!$B$2:$AH$87,33,FALSE)</f>
        <v>2474469.5700000003</v>
      </c>
      <c r="G15" s="11">
        <f t="shared" si="0"/>
        <v>-6325530.4299999997</v>
      </c>
      <c r="H15" s="107">
        <f t="shared" si="1"/>
        <v>0.28118972386363639</v>
      </c>
    </row>
    <row r="16" spans="1:8" ht="15.75" x14ac:dyDescent="0.25">
      <c r="A16" s="35" t="s">
        <v>90</v>
      </c>
      <c r="B16" s="6">
        <v>55</v>
      </c>
      <c r="C16" s="7" t="s">
        <v>107</v>
      </c>
      <c r="D16" s="8">
        <v>7000000</v>
      </c>
      <c r="E16" s="10">
        <v>4480630</v>
      </c>
      <c r="F16" s="10">
        <f>VLOOKUP(B16,'BASE '!$B$2:$AH$87,33,FALSE)</f>
        <v>2145647.39</v>
      </c>
      <c r="G16" s="11">
        <f t="shared" si="0"/>
        <v>-2334982.61</v>
      </c>
      <c r="H16" s="79">
        <f t="shared" si="1"/>
        <v>0.47887180820554254</v>
      </c>
    </row>
    <row r="17" spans="1:9" ht="15.75" x14ac:dyDescent="0.25">
      <c r="A17" s="35" t="s">
        <v>90</v>
      </c>
      <c r="B17" s="6">
        <v>97</v>
      </c>
      <c r="C17" s="7" t="s">
        <v>10</v>
      </c>
      <c r="D17" s="8">
        <v>6000000</v>
      </c>
      <c r="E17" s="10">
        <v>7154840.0000000009</v>
      </c>
      <c r="F17" s="10">
        <f>VLOOKUP(B17,'BASE '!$B$2:$AH$87,33,FALSE)</f>
        <v>1621240.47</v>
      </c>
      <c r="G17" s="11">
        <f t="shared" si="0"/>
        <v>-5533599.5300000012</v>
      </c>
      <c r="H17" s="79">
        <f t="shared" si="1"/>
        <v>0.22659353248989492</v>
      </c>
    </row>
    <row r="18" spans="1:9" ht="15.75" x14ac:dyDescent="0.25">
      <c r="A18" s="35" t="s">
        <v>90</v>
      </c>
      <c r="B18" s="6">
        <v>43</v>
      </c>
      <c r="C18" s="7" t="s">
        <v>7</v>
      </c>
      <c r="D18" s="8">
        <v>5000000</v>
      </c>
      <c r="E18" s="10">
        <v>5518590</v>
      </c>
      <c r="F18" s="10">
        <f>VLOOKUP(B18,'BASE '!$B$2:$AH$87,33,FALSE)</f>
        <v>1397501.7</v>
      </c>
      <c r="G18" s="11">
        <f t="shared" si="0"/>
        <v>-4121088.3</v>
      </c>
      <c r="H18" s="79">
        <f t="shared" si="1"/>
        <v>0.25323528292552988</v>
      </c>
    </row>
    <row r="19" spans="1:9" x14ac:dyDescent="0.25">
      <c r="A19" s="35" t="s">
        <v>90</v>
      </c>
      <c r="B19" s="6">
        <v>93</v>
      </c>
      <c r="C19" s="7" t="s">
        <v>17</v>
      </c>
      <c r="D19" s="8">
        <v>2500000</v>
      </c>
      <c r="E19" s="10">
        <v>2402400</v>
      </c>
      <c r="F19" s="10">
        <f>VLOOKUP(B19,'BASE '!$B$2:$AH$87,33,FALSE)</f>
        <v>518901.79000000004</v>
      </c>
      <c r="G19" s="11">
        <f t="shared" si="0"/>
        <v>-1883498.21</v>
      </c>
      <c r="H19" s="80">
        <f t="shared" si="1"/>
        <v>0.21599308608058609</v>
      </c>
    </row>
    <row r="20" spans="1:9" x14ac:dyDescent="0.25">
      <c r="A20" s="35" t="s">
        <v>90</v>
      </c>
      <c r="B20" s="6">
        <v>92</v>
      </c>
      <c r="C20" s="7" t="s">
        <v>14</v>
      </c>
      <c r="D20" s="8">
        <v>6500000</v>
      </c>
      <c r="E20" s="10">
        <v>7150000.0000000009</v>
      </c>
      <c r="F20" s="10">
        <f>VLOOKUP(B20,'BASE '!$B$2:$AH$87,33,FALSE)</f>
        <v>914023.89</v>
      </c>
      <c r="G20" s="11">
        <f t="shared" si="0"/>
        <v>-6235976.1100000013</v>
      </c>
      <c r="H20" s="80">
        <f t="shared" si="1"/>
        <v>0.12783550909090907</v>
      </c>
    </row>
    <row r="21" spans="1:9" ht="17.25" customHeight="1" x14ac:dyDescent="0.25">
      <c r="A21" s="35" t="s">
        <v>27</v>
      </c>
      <c r="B21" s="6">
        <v>89</v>
      </c>
      <c r="C21" s="7" t="s">
        <v>5</v>
      </c>
      <c r="D21" s="8">
        <v>2500000</v>
      </c>
      <c r="E21" s="10">
        <v>2403878.4000000004</v>
      </c>
      <c r="F21" s="10">
        <f>VLOOKUP(B21,'BASE '!$B$2:$AH$87,33,FALSE)</f>
        <v>740798.56099999999</v>
      </c>
      <c r="G21" s="11">
        <f t="shared" si="0"/>
        <v>-1663079.8390000004</v>
      </c>
      <c r="H21" s="108">
        <f t="shared" si="1"/>
        <v>0.30816806748627545</v>
      </c>
    </row>
    <row r="22" spans="1:9" ht="15.75" x14ac:dyDescent="0.25">
      <c r="A22" s="35" t="s">
        <v>27</v>
      </c>
      <c r="B22" s="6">
        <v>95</v>
      </c>
      <c r="C22" s="7" t="s">
        <v>11</v>
      </c>
      <c r="D22" s="8">
        <v>3500000</v>
      </c>
      <c r="E22" s="10">
        <v>2566080</v>
      </c>
      <c r="F22" s="10">
        <f>VLOOKUP(B22,'BASE '!$B$2:$AH$87,33,FALSE)</f>
        <v>982564.6</v>
      </c>
      <c r="G22" s="11">
        <f t="shared" si="0"/>
        <v>-1583515.4</v>
      </c>
      <c r="H22" s="79">
        <f t="shared" si="1"/>
        <v>0.38290489774286068</v>
      </c>
    </row>
    <row r="23" spans="1:9" ht="15.75" x14ac:dyDescent="0.25">
      <c r="A23" s="35" t="s">
        <v>27</v>
      </c>
      <c r="B23" s="6">
        <v>46</v>
      </c>
      <c r="C23" s="7" t="s">
        <v>16</v>
      </c>
      <c r="D23" s="8">
        <v>1500000</v>
      </c>
      <c r="E23" s="10">
        <v>2038168.0000000002</v>
      </c>
      <c r="F23" s="10">
        <f>VLOOKUP(B23,'BASE '!$B$2:$AH$87,33,FALSE)</f>
        <v>335529.79000000004</v>
      </c>
      <c r="G23" s="11">
        <f t="shared" si="0"/>
        <v>-1702638.2100000002</v>
      </c>
      <c r="H23" s="79">
        <f t="shared" si="1"/>
        <v>0.16462322536709437</v>
      </c>
    </row>
    <row r="24" spans="1:9" ht="15.75" x14ac:dyDescent="0.25">
      <c r="A24" s="35" t="s">
        <v>27</v>
      </c>
      <c r="B24" s="6">
        <v>50</v>
      </c>
      <c r="C24" s="7" t="s">
        <v>86</v>
      </c>
      <c r="D24" s="8">
        <v>1200000</v>
      </c>
      <c r="E24" s="10">
        <v>1140282</v>
      </c>
      <c r="F24" s="10">
        <f>VLOOKUP(B24,'BASE '!$B$2:$AH$87,33,FALSE)</f>
        <v>272436.08999999997</v>
      </c>
      <c r="G24" s="11">
        <f t="shared" si="0"/>
        <v>-867845.91</v>
      </c>
      <c r="H24" s="79">
        <f t="shared" si="1"/>
        <v>0.23891992507116658</v>
      </c>
    </row>
    <row r="25" spans="1:9" ht="15.75" x14ac:dyDescent="0.25">
      <c r="A25" s="35" t="s">
        <v>27</v>
      </c>
      <c r="B25" s="6">
        <v>90</v>
      </c>
      <c r="C25" s="7" t="s">
        <v>9</v>
      </c>
      <c r="D25" s="8">
        <v>3300000</v>
      </c>
      <c r="E25" s="10">
        <v>3300000.0000000005</v>
      </c>
      <c r="F25" s="10">
        <f>VLOOKUP(B25,'BASE '!$B$2:$AH$87,33,FALSE)</f>
        <v>610061.38</v>
      </c>
      <c r="G25" s="11">
        <f t="shared" si="0"/>
        <v>-2689938.6200000006</v>
      </c>
      <c r="H25" s="79">
        <f t="shared" si="1"/>
        <v>0.18486708484848483</v>
      </c>
    </row>
    <row r="26" spans="1:9" ht="15.75" x14ac:dyDescent="0.25">
      <c r="A26" s="35" t="s">
        <v>27</v>
      </c>
      <c r="B26" s="6">
        <v>49</v>
      </c>
      <c r="C26" s="7" t="s">
        <v>85</v>
      </c>
      <c r="D26" s="8">
        <v>1700000</v>
      </c>
      <c r="E26" s="10">
        <v>1905090.0000000002</v>
      </c>
      <c r="F26" s="10">
        <f>VLOOKUP(B26,'BASE '!$B$2:$AH$87,33,FALSE)</f>
        <v>419997.1</v>
      </c>
      <c r="G26" s="11">
        <f t="shared" si="0"/>
        <v>-1485092.9000000004</v>
      </c>
      <c r="H26" s="79">
        <f t="shared" si="1"/>
        <v>0.22046050317832749</v>
      </c>
    </row>
    <row r="27" spans="1:9" ht="15.75" x14ac:dyDescent="0.25">
      <c r="A27" s="35" t="s">
        <v>27</v>
      </c>
      <c r="B27" s="6">
        <v>94</v>
      </c>
      <c r="C27" s="7" t="s">
        <v>15</v>
      </c>
      <c r="D27" s="8">
        <v>7000000</v>
      </c>
      <c r="E27" s="10">
        <v>6136680.0000000009</v>
      </c>
      <c r="F27" s="10">
        <f>VLOOKUP(B27,'BASE '!$B$2:$AH$87,33,FALSE)</f>
        <v>556738.18999999994</v>
      </c>
      <c r="G27" s="11">
        <f t="shared" si="0"/>
        <v>-5579941.8100000005</v>
      </c>
      <c r="H27" s="79">
        <f t="shared" si="1"/>
        <v>9.0723027760939115E-2</v>
      </c>
    </row>
    <row r="28" spans="1:9" s="15" customFormat="1" x14ac:dyDescent="0.25">
      <c r="A28" s="35" t="s">
        <v>27</v>
      </c>
      <c r="B28" s="6">
        <v>42</v>
      </c>
      <c r="C28" s="7" t="s">
        <v>84</v>
      </c>
      <c r="D28" s="8">
        <v>2000000</v>
      </c>
      <c r="E28" s="10">
        <v>2325840</v>
      </c>
      <c r="F28" s="10">
        <f>VLOOKUP(B28,'BASE '!$B$2:$AH$87,33,FALSE)</f>
        <v>536080.39999999991</v>
      </c>
      <c r="G28" s="11">
        <f t="shared" si="0"/>
        <v>-1789759.6</v>
      </c>
      <c r="H28" s="80">
        <f t="shared" si="1"/>
        <v>0.23048894162969075</v>
      </c>
      <c r="I28" s="56"/>
    </row>
    <row r="29" spans="1:9" x14ac:dyDescent="0.25">
      <c r="A29" s="35" t="s">
        <v>27</v>
      </c>
      <c r="B29" s="6">
        <v>45</v>
      </c>
      <c r="C29" s="7" t="s">
        <v>93</v>
      </c>
      <c r="D29" s="8">
        <v>3000000</v>
      </c>
      <c r="E29" s="10">
        <v>2530000</v>
      </c>
      <c r="F29" s="10">
        <f>VLOOKUP(B29,'BASE '!$B$2:$AH$87,33,FALSE)</f>
        <v>430622.99</v>
      </c>
      <c r="G29" s="11">
        <f t="shared" si="0"/>
        <v>-2099377.0099999998</v>
      </c>
      <c r="H29" s="80">
        <f t="shared" si="1"/>
        <v>0.17020671541501975</v>
      </c>
    </row>
    <row r="30" spans="1:9" x14ac:dyDescent="0.25">
      <c r="A30" s="35" t="s">
        <v>27</v>
      </c>
      <c r="B30" s="6">
        <v>51</v>
      </c>
      <c r="C30" s="7" t="s">
        <v>87</v>
      </c>
      <c r="D30" s="8">
        <v>1200000</v>
      </c>
      <c r="E30" s="10">
        <v>1182654</v>
      </c>
      <c r="F30" s="10">
        <f>VLOOKUP(B30,'BASE '!$B$2:$AH$87,33,FALSE)</f>
        <v>268593.58999999997</v>
      </c>
      <c r="G30" s="11">
        <f t="shared" si="0"/>
        <v>-914060.41</v>
      </c>
      <c r="H30" s="80">
        <f t="shared" si="1"/>
        <v>0.22711087942881009</v>
      </c>
    </row>
    <row r="31" spans="1:9" x14ac:dyDescent="0.25">
      <c r="A31" s="54" t="s">
        <v>27</v>
      </c>
      <c r="B31" s="53">
        <v>53</v>
      </c>
      <c r="C31" s="55" t="s">
        <v>120</v>
      </c>
      <c r="D31" s="55"/>
      <c r="E31" s="55">
        <v>1946670.0000000002</v>
      </c>
      <c r="F31" s="10">
        <f>VLOOKUP(B31,'BASE '!$B$2:$AH$87,33,FALSE)</f>
        <v>523973.89</v>
      </c>
      <c r="G31" s="11">
        <f t="shared" si="0"/>
        <v>-1422696.1100000003</v>
      </c>
      <c r="H31" s="80">
        <f t="shared" si="1"/>
        <v>0.26916420862293039</v>
      </c>
    </row>
    <row r="32" spans="1:9" s="15" customFormat="1" ht="18" customHeight="1" x14ac:dyDescent="0.25">
      <c r="A32" s="45" t="s">
        <v>98</v>
      </c>
      <c r="B32" s="46"/>
      <c r="C32" s="47"/>
      <c r="D32" s="14">
        <f>SUM(D6:D31)</f>
        <v>88900000</v>
      </c>
      <c r="E32" s="14">
        <f>SUM(E6:E31)</f>
        <v>85680610.400000006</v>
      </c>
      <c r="F32" s="14">
        <f>SUM(F6:F31)</f>
        <v>20979764.933000002</v>
      </c>
      <c r="G32" s="14">
        <f>D32-F32</f>
        <v>67920235.067000002</v>
      </c>
      <c r="H32" s="41">
        <f t="shared" ref="H32" si="2">F32/E32</f>
        <v>0.24486012453758149</v>
      </c>
    </row>
  </sheetData>
  <sortState xmlns:xlrd2="http://schemas.microsoft.com/office/spreadsheetml/2017/richdata2" ref="A6:H31">
    <sortCondition ref="A6:A31"/>
    <sortCondition descending="1" ref="H6:H31"/>
  </sortState>
  <mergeCells count="2">
    <mergeCell ref="F3:H3"/>
    <mergeCell ref="F4:H4"/>
  </mergeCells>
  <phoneticPr fontId="12" type="noConversion"/>
  <pageMargins left="0.25" right="0.25" top="0.75" bottom="0.75" header="0.3" footer="0.3"/>
  <pageSetup paperSize="9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Feuil7"/>
  <dimension ref="F1:F85"/>
  <sheetViews>
    <sheetView topLeftCell="A8" workbookViewId="0">
      <selection activeCell="H22" sqref="H22"/>
    </sheetView>
  </sheetViews>
  <sheetFormatPr baseColWidth="10" defaultRowHeight="15" x14ac:dyDescent="0.25"/>
  <sheetData>
    <row r="1" spans="6:6" x14ac:dyDescent="0.25">
      <c r="F1" s="27">
        <v>1.1200000000000001</v>
      </c>
    </row>
    <row r="2" spans="6:6" x14ac:dyDescent="0.25">
      <c r="F2" s="27">
        <v>1.1100000000000001</v>
      </c>
    </row>
    <row r="3" spans="6:6" x14ac:dyDescent="0.25">
      <c r="F3" s="27">
        <v>1.1000000000000001</v>
      </c>
    </row>
    <row r="4" spans="6:6" x14ac:dyDescent="0.25">
      <c r="F4" s="28">
        <v>1.0900000000000001</v>
      </c>
    </row>
    <row r="5" spans="6:6" x14ac:dyDescent="0.25">
      <c r="F5" s="28">
        <v>1.08</v>
      </c>
    </row>
    <row r="6" spans="6:6" x14ac:dyDescent="0.25">
      <c r="F6" s="28">
        <v>1.07</v>
      </c>
    </row>
    <row r="7" spans="6:6" x14ac:dyDescent="0.25">
      <c r="F7" s="28">
        <v>1.06</v>
      </c>
    </row>
    <row r="8" spans="6:6" x14ac:dyDescent="0.25">
      <c r="F8" s="28">
        <v>1.05</v>
      </c>
    </row>
    <row r="9" spans="6:6" x14ac:dyDescent="0.25">
      <c r="F9" s="28">
        <v>1.04</v>
      </c>
    </row>
    <row r="10" spans="6:6" x14ac:dyDescent="0.25">
      <c r="F10" s="28">
        <v>1.03</v>
      </c>
    </row>
    <row r="11" spans="6:6" x14ac:dyDescent="0.25">
      <c r="F11" s="28">
        <v>1.02</v>
      </c>
    </row>
    <row r="12" spans="6:6" x14ac:dyDescent="0.25">
      <c r="F12" s="28">
        <v>1.01</v>
      </c>
    </row>
    <row r="13" spans="6:6" x14ac:dyDescent="0.25">
      <c r="F13" s="28">
        <v>1</v>
      </c>
    </row>
    <row r="14" spans="6:6" ht="15.75" x14ac:dyDescent="0.25">
      <c r="F14" s="12">
        <v>0.99</v>
      </c>
    </row>
    <row r="15" spans="6:6" ht="15.75" x14ac:dyDescent="0.25">
      <c r="F15" s="12">
        <v>0.98</v>
      </c>
    </row>
    <row r="16" spans="6:6" ht="15.75" x14ac:dyDescent="0.25">
      <c r="F16" s="12">
        <v>0.97</v>
      </c>
    </row>
    <row r="17" spans="6:6" ht="15.75" x14ac:dyDescent="0.25">
      <c r="F17" s="12">
        <v>0.96</v>
      </c>
    </row>
    <row r="18" spans="6:6" ht="15.75" x14ac:dyDescent="0.25">
      <c r="F18" s="12">
        <v>0.95</v>
      </c>
    </row>
    <row r="19" spans="6:6" ht="15.75" x14ac:dyDescent="0.25">
      <c r="F19" s="12">
        <v>0.94</v>
      </c>
    </row>
    <row r="20" spans="6:6" ht="15.75" x14ac:dyDescent="0.25">
      <c r="F20" s="12">
        <v>0.93</v>
      </c>
    </row>
    <row r="21" spans="6:6" ht="15.75" x14ac:dyDescent="0.25">
      <c r="F21" s="12">
        <v>0.92</v>
      </c>
    </row>
    <row r="22" spans="6:6" ht="15.75" x14ac:dyDescent="0.25">
      <c r="F22" s="12">
        <v>0.91</v>
      </c>
    </row>
    <row r="23" spans="6:6" ht="15.75" x14ac:dyDescent="0.25">
      <c r="F23" s="12">
        <v>0.9</v>
      </c>
    </row>
    <row r="24" spans="6:6" ht="15.75" x14ac:dyDescent="0.25">
      <c r="F24" s="12">
        <v>0.89</v>
      </c>
    </row>
    <row r="25" spans="6:6" ht="15.75" x14ac:dyDescent="0.25">
      <c r="F25" s="12">
        <v>0.88</v>
      </c>
    </row>
    <row r="26" spans="6:6" ht="15.75" x14ac:dyDescent="0.25">
      <c r="F26" s="12">
        <v>0.87</v>
      </c>
    </row>
    <row r="27" spans="6:6" ht="15.75" x14ac:dyDescent="0.25">
      <c r="F27" s="12">
        <v>0.86</v>
      </c>
    </row>
    <row r="28" spans="6:6" ht="15.75" x14ac:dyDescent="0.25">
      <c r="F28" s="12">
        <v>0.85</v>
      </c>
    </row>
    <row r="29" spans="6:6" ht="15.75" x14ac:dyDescent="0.25">
      <c r="F29" s="12">
        <v>0.84</v>
      </c>
    </row>
    <row r="30" spans="6:6" ht="15.75" x14ac:dyDescent="0.25">
      <c r="F30" s="12">
        <v>0.83</v>
      </c>
    </row>
    <row r="31" spans="6:6" ht="15.75" x14ac:dyDescent="0.25">
      <c r="F31" s="12">
        <v>0.82</v>
      </c>
    </row>
    <row r="32" spans="6:6" ht="15.75" x14ac:dyDescent="0.25">
      <c r="F32" s="12">
        <v>0.81</v>
      </c>
    </row>
    <row r="33" spans="6:6" ht="15.75" x14ac:dyDescent="0.25">
      <c r="F33" s="13">
        <v>0.8</v>
      </c>
    </row>
    <row r="34" spans="6:6" ht="15.75" x14ac:dyDescent="0.25">
      <c r="F34" s="13">
        <v>0.79</v>
      </c>
    </row>
    <row r="35" spans="6:6" ht="15.75" x14ac:dyDescent="0.25">
      <c r="F35" s="13">
        <v>0.78</v>
      </c>
    </row>
    <row r="36" spans="6:6" ht="15.75" x14ac:dyDescent="0.25">
      <c r="F36" s="13">
        <v>0.77</v>
      </c>
    </row>
    <row r="37" spans="6:6" ht="15.75" x14ac:dyDescent="0.25">
      <c r="F37" s="13">
        <v>0.76</v>
      </c>
    </row>
    <row r="38" spans="6:6" ht="15.75" x14ac:dyDescent="0.25">
      <c r="F38" s="13">
        <v>0.75</v>
      </c>
    </row>
    <row r="39" spans="6:6" ht="15.75" x14ac:dyDescent="0.25">
      <c r="F39" s="13">
        <v>0.74</v>
      </c>
    </row>
    <row r="40" spans="6:6" ht="15.75" x14ac:dyDescent="0.25">
      <c r="F40" s="13">
        <v>0.73</v>
      </c>
    </row>
    <row r="41" spans="6:6" ht="15.75" x14ac:dyDescent="0.25">
      <c r="F41" s="13">
        <v>0.72</v>
      </c>
    </row>
    <row r="42" spans="6:6" ht="15.75" x14ac:dyDescent="0.25">
      <c r="F42" s="13">
        <v>0.71</v>
      </c>
    </row>
    <row r="43" spans="6:6" ht="15.75" x14ac:dyDescent="0.25">
      <c r="F43" s="13">
        <v>0.7</v>
      </c>
    </row>
    <row r="44" spans="6:6" ht="15.75" x14ac:dyDescent="0.25">
      <c r="F44" s="13">
        <v>0.69</v>
      </c>
    </row>
    <row r="45" spans="6:6" ht="15.75" x14ac:dyDescent="0.25">
      <c r="F45" s="13">
        <v>0.68</v>
      </c>
    </row>
    <row r="46" spans="6:6" ht="15.75" x14ac:dyDescent="0.25">
      <c r="F46" s="13">
        <v>0.67</v>
      </c>
    </row>
    <row r="47" spans="6:6" ht="15.75" x14ac:dyDescent="0.25">
      <c r="F47" s="13">
        <v>0.66</v>
      </c>
    </row>
    <row r="48" spans="6:6" ht="15.75" x14ac:dyDescent="0.25">
      <c r="F48" s="13">
        <v>0.65</v>
      </c>
    </row>
    <row r="49" spans="6:6" ht="15.75" x14ac:dyDescent="0.25">
      <c r="F49" s="13">
        <v>0.64</v>
      </c>
    </row>
    <row r="50" spans="6:6" ht="15.75" x14ac:dyDescent="0.25">
      <c r="F50" s="13">
        <v>0.63</v>
      </c>
    </row>
    <row r="51" spans="6:6" ht="15.75" x14ac:dyDescent="0.25">
      <c r="F51" s="13">
        <v>0.62</v>
      </c>
    </row>
    <row r="52" spans="6:6" ht="15.75" x14ac:dyDescent="0.25">
      <c r="F52" s="13">
        <v>0.61</v>
      </c>
    </row>
    <row r="53" spans="6:6" ht="15.75" x14ac:dyDescent="0.25">
      <c r="F53" s="13">
        <v>0.6</v>
      </c>
    </row>
    <row r="54" spans="6:6" ht="15.75" x14ac:dyDescent="0.25">
      <c r="F54" s="13">
        <v>0.59</v>
      </c>
    </row>
    <row r="55" spans="6:6" ht="15.75" x14ac:dyDescent="0.25">
      <c r="F55" s="13">
        <v>0.57999999999999996</v>
      </c>
    </row>
    <row r="56" spans="6:6" ht="15.75" x14ac:dyDescent="0.25">
      <c r="F56" s="13">
        <v>0.56999999999999995</v>
      </c>
    </row>
    <row r="57" spans="6:6" ht="15.75" x14ac:dyDescent="0.25">
      <c r="F57" s="13">
        <v>0.56000000000000005</v>
      </c>
    </row>
    <row r="58" spans="6:6" ht="15.75" x14ac:dyDescent="0.25">
      <c r="F58" s="13">
        <v>0.54999999999999905</v>
      </c>
    </row>
    <row r="59" spans="6:6" ht="15.75" x14ac:dyDescent="0.25">
      <c r="F59" s="13">
        <v>0.53999999999999904</v>
      </c>
    </row>
    <row r="60" spans="6:6" ht="15.75" x14ac:dyDescent="0.25">
      <c r="F60" s="13">
        <v>0.52999999999999903</v>
      </c>
    </row>
    <row r="61" spans="6:6" ht="15.75" x14ac:dyDescent="0.25">
      <c r="F61" s="13">
        <v>0.51999999999999902</v>
      </c>
    </row>
    <row r="62" spans="6:6" ht="15.75" x14ac:dyDescent="0.25">
      <c r="F62" s="13">
        <v>0.50999999999999901</v>
      </c>
    </row>
    <row r="63" spans="6:6" x14ac:dyDescent="0.25">
      <c r="F63" s="29">
        <v>0.499999999999999</v>
      </c>
    </row>
    <row r="64" spans="6:6" x14ac:dyDescent="0.25">
      <c r="F64" s="29">
        <v>0.48999999999999899</v>
      </c>
    </row>
    <row r="65" spans="6:6" x14ac:dyDescent="0.25">
      <c r="F65" s="29">
        <v>0.47999999999999898</v>
      </c>
    </row>
    <row r="66" spans="6:6" x14ac:dyDescent="0.25">
      <c r="F66" s="29">
        <v>0.46999999999999897</v>
      </c>
    </row>
    <row r="67" spans="6:6" x14ac:dyDescent="0.25">
      <c r="F67" s="29">
        <v>0.45999999999999902</v>
      </c>
    </row>
    <row r="68" spans="6:6" x14ac:dyDescent="0.25">
      <c r="F68" s="29">
        <v>0.44999999999999901</v>
      </c>
    </row>
    <row r="69" spans="6:6" x14ac:dyDescent="0.25">
      <c r="F69" s="29">
        <v>0.439999999999999</v>
      </c>
    </row>
    <row r="70" spans="6:6" x14ac:dyDescent="0.25">
      <c r="F70" s="29">
        <v>0.42999999999999899</v>
      </c>
    </row>
    <row r="71" spans="6:6" x14ac:dyDescent="0.25">
      <c r="F71" s="29">
        <v>0.41999999999999899</v>
      </c>
    </row>
    <row r="72" spans="6:6" x14ac:dyDescent="0.25">
      <c r="F72" s="29">
        <v>0.40999999999999898</v>
      </c>
    </row>
    <row r="73" spans="6:6" x14ac:dyDescent="0.25">
      <c r="F73" s="29">
        <v>0.39999999999999902</v>
      </c>
    </row>
    <row r="74" spans="6:6" x14ac:dyDescent="0.25">
      <c r="F74" s="29">
        <v>0.38999999999999901</v>
      </c>
    </row>
    <row r="75" spans="6:6" x14ac:dyDescent="0.25">
      <c r="F75" s="29">
        <v>0.37999999999999901</v>
      </c>
    </row>
    <row r="76" spans="6:6" x14ac:dyDescent="0.25">
      <c r="F76" s="29">
        <v>0.369999999999999</v>
      </c>
    </row>
    <row r="77" spans="6:6" x14ac:dyDescent="0.25">
      <c r="F77" s="29">
        <v>0.35999999999999899</v>
      </c>
    </row>
    <row r="78" spans="6:6" x14ac:dyDescent="0.25">
      <c r="F78" s="29">
        <v>0.34999999999999898</v>
      </c>
    </row>
    <row r="79" spans="6:6" x14ac:dyDescent="0.25">
      <c r="F79" s="29">
        <v>0.33999999999999903</v>
      </c>
    </row>
    <row r="80" spans="6:6" x14ac:dyDescent="0.25">
      <c r="F80" s="29">
        <v>0.32999999999999902</v>
      </c>
    </row>
    <row r="81" spans="6:6" x14ac:dyDescent="0.25">
      <c r="F81" s="29">
        <v>0.31999999999999901</v>
      </c>
    </row>
    <row r="82" spans="6:6" x14ac:dyDescent="0.25">
      <c r="F82" s="29">
        <v>0.309999999999999</v>
      </c>
    </row>
    <row r="83" spans="6:6" x14ac:dyDescent="0.25">
      <c r="F83" s="29">
        <v>0.29999999999999899</v>
      </c>
    </row>
    <row r="84" spans="6:6" x14ac:dyDescent="0.25">
      <c r="F84" s="29">
        <v>0.28999999999999898</v>
      </c>
    </row>
    <row r="85" spans="6:6" x14ac:dyDescent="0.25">
      <c r="F85" s="29">
        <v>0.27999999999999903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6</vt:i4>
      </vt:variant>
    </vt:vector>
  </HeadingPairs>
  <TitlesOfParts>
    <vt:vector size="6" baseType="lpstr">
      <vt:lpstr>MOIS COMP</vt:lpstr>
      <vt:lpstr>BASE </vt:lpstr>
      <vt:lpstr>SNDE</vt:lpstr>
      <vt:lpstr>COMPARAISON</vt:lpstr>
      <vt:lpstr>NKTT</vt:lpstr>
      <vt:lpstr>Legende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Abdallahi Mohamed</cp:lastModifiedBy>
  <cp:lastPrinted>2025-04-27T23:06:35Z</cp:lastPrinted>
  <dcterms:created xsi:type="dcterms:W3CDTF">2025-01-30T00:17:53Z</dcterms:created>
  <dcterms:modified xsi:type="dcterms:W3CDTF">2026-04-12T23:56:55Z</dcterms:modified>
</cp:coreProperties>
</file>